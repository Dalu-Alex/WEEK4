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dalu/Downloads/"/>
    </mc:Choice>
  </mc:AlternateContent>
  <xr:revisionPtr revIDLastSave="0" documentId="8_{AD4187C1-A2F2-0946-8F36-79C25693F99D}" xr6:coauthVersionLast="47" xr6:coauthVersionMax="47" xr10:uidLastSave="{00000000-0000-0000-0000-000000000000}"/>
  <bookViews>
    <workbookView xWindow="0" yWindow="600" windowWidth="28800" windowHeight="16140" activeTab="3" xr2:uid="{A0F82F1E-A69D-494B-B1A5-42FF153C184A}"/>
  </bookViews>
  <sheets>
    <sheet name="SALES" sheetId="1" r:id="rId1"/>
    <sheet name="PIVOT TABLES" sheetId="3" r:id="rId2"/>
    <sheet name="SALES CONTRIBUTION ANALYSIS" sheetId="4" r:id="rId3"/>
    <sheet name="STEPS" sheetId="2" r:id="rId4"/>
    <sheet name="Sheet5" sheetId="5" r:id="rId5"/>
  </sheets>
  <definedNames>
    <definedName name="Slicer_Category">#N/A</definedName>
    <definedName name="Slicer_Month">#N/A</definedName>
    <definedName name="Slicer_Product_Name">#N/A</definedName>
    <definedName name="Slicer_Region">#N/A</definedName>
  </definedNames>
  <calcPr calcId="181029"/>
  <pivotCaches>
    <pivotCache cacheId="76"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 i="1" l="1"/>
  <c r="L13" i="1"/>
  <c r="K13" i="1"/>
  <c r="J13" i="1"/>
  <c r="I13" i="1"/>
  <c r="H13" i="1"/>
  <c r="G13" i="1"/>
  <c r="M12" i="1"/>
  <c r="L12" i="1"/>
  <c r="K12" i="1"/>
  <c r="J12" i="1"/>
  <c r="I12" i="1"/>
  <c r="H12" i="1"/>
  <c r="G12" i="1"/>
  <c r="M11" i="1"/>
  <c r="L11" i="1"/>
  <c r="K11" i="1"/>
  <c r="J11" i="1"/>
  <c r="I11" i="1"/>
  <c r="H11" i="1"/>
  <c r="G11" i="1"/>
  <c r="M10" i="1"/>
  <c r="L10" i="1"/>
  <c r="K10" i="1"/>
  <c r="J10" i="1"/>
  <c r="I10" i="1"/>
  <c r="H10" i="1"/>
  <c r="G10" i="1"/>
  <c r="M9" i="1"/>
  <c r="L9" i="1"/>
  <c r="K9" i="1"/>
  <c r="J9" i="1"/>
  <c r="I9" i="1"/>
  <c r="H9" i="1"/>
  <c r="G9" i="1"/>
  <c r="M8" i="1"/>
  <c r="L8" i="1"/>
  <c r="K8" i="1"/>
  <c r="J8" i="1"/>
  <c r="I8" i="1"/>
  <c r="H8" i="1"/>
  <c r="G8" i="1"/>
  <c r="M7" i="1"/>
  <c r="L7" i="1"/>
  <c r="K7" i="1"/>
  <c r="J7" i="1"/>
  <c r="I7" i="1"/>
  <c r="H7" i="1"/>
  <c r="G7" i="1"/>
  <c r="M6" i="1"/>
  <c r="L6" i="1"/>
  <c r="K6" i="1"/>
  <c r="J6" i="1"/>
  <c r="I6" i="1"/>
  <c r="H6" i="1"/>
  <c r="G6" i="1"/>
  <c r="M5" i="1"/>
  <c r="L5" i="1"/>
  <c r="K5" i="1"/>
  <c r="J5" i="1"/>
  <c r="I5" i="1"/>
  <c r="H5" i="1"/>
  <c r="G5" i="1"/>
  <c r="M4" i="1"/>
  <c r="L4" i="1"/>
  <c r="K4" i="1"/>
  <c r="J4" i="1"/>
  <c r="I4" i="1"/>
  <c r="H4" i="1"/>
  <c r="G4" i="1"/>
  <c r="M3" i="1"/>
  <c r="L3" i="1"/>
  <c r="K3" i="1"/>
  <c r="J3" i="1"/>
  <c r="I3" i="1"/>
  <c r="H3" i="1"/>
  <c r="G3" i="1"/>
  <c r="M2" i="1"/>
  <c r="L2" i="1"/>
  <c r="K2" i="1"/>
  <c r="J2" i="1"/>
  <c r="I2" i="1"/>
  <c r="H2" i="1"/>
  <c r="G2" i="1"/>
</calcChain>
</file>

<file path=xl/sharedStrings.xml><?xml version="1.0" encoding="utf-8"?>
<sst xmlns="http://schemas.openxmlformats.org/spreadsheetml/2006/main" count="213" uniqueCount="106">
  <si>
    <t>OrderID</t>
  </si>
  <si>
    <t>OrderDate</t>
  </si>
  <si>
    <t>ProductID</t>
  </si>
  <si>
    <t>RegionID</t>
  </si>
  <si>
    <t>Quantity</t>
  </si>
  <si>
    <t>SalesAmount</t>
  </si>
  <si>
    <t>Date</t>
  </si>
  <si>
    <t>Month</t>
  </si>
  <si>
    <t>year</t>
  </si>
  <si>
    <t>Product Name</t>
  </si>
  <si>
    <t>Category</t>
  </si>
  <si>
    <t>Region</t>
  </si>
  <si>
    <t>weekday</t>
  </si>
  <si>
    <t>X1</t>
  </si>
  <si>
    <t>Z1</t>
  </si>
  <si>
    <t>X3</t>
  </si>
  <si>
    <t>Z2</t>
  </si>
  <si>
    <t>X2</t>
  </si>
  <si>
    <t>Z3</t>
  </si>
  <si>
    <t>X5</t>
  </si>
  <si>
    <t>X4</t>
  </si>
  <si>
    <t>Z4</t>
  </si>
  <si>
    <t>X6</t>
  </si>
  <si>
    <t>ProductName</t>
  </si>
  <si>
    <t>Monitor</t>
  </si>
  <si>
    <t>Electronics</t>
  </si>
  <si>
    <t>Keyboard</t>
  </si>
  <si>
    <t>Accessories</t>
  </si>
  <si>
    <t>Printer</t>
  </si>
  <si>
    <t>Desk</t>
  </si>
  <si>
    <t>Furniture</t>
  </si>
  <si>
    <t>Lamp</t>
  </si>
  <si>
    <t>Home</t>
  </si>
  <si>
    <t>Webcam</t>
  </si>
  <si>
    <t>RegionName</t>
  </si>
  <si>
    <t>East</t>
  </si>
  <si>
    <t>West</t>
  </si>
  <si>
    <t>Central</t>
  </si>
  <si>
    <t>International</t>
  </si>
  <si>
    <t>Row Labels</t>
  </si>
  <si>
    <t>Grand Total</t>
  </si>
  <si>
    <t>Sum of SalesAmount</t>
  </si>
  <si>
    <t>Column Labels</t>
  </si>
  <si>
    <t>Tables Used</t>
  </si>
  <si>
    <t>•</t>
  </si>
  <si>
    <t>Sales (OrderID, OrderDate, ProductID, Quantity, SalesAmount)</t>
  </si>
  <si>
    <t>Products (ProductID, ProductName, Category)</t>
  </si>
  <si>
    <t>Regions (RegionID, RegionName)</t>
  </si>
  <si>
    <t>What was done</t>
  </si>
  <si>
    <t>Converted all datasets into Excel Tables to enable structured referencing.</t>
  </si>
  <si>
    <t>Connected tables using:</t>
  </si>
  <si>
    <t>ProductID → to fetch Product Name and Category</t>
  </si>
  <si>
    <t>RegionID → to fetch Region Name</t>
  </si>
  <si>
    <t>Used lookup relationships / PivotTable relationships instead of manual joins.</t>
  </si>
  <si>
    <t>Why this was used</t>
  </si>
  <si>
    <t>Ensures data consistency</t>
  </si>
  <si>
    <t>Avoids duplication</t>
  </si>
  <si>
    <t>Allows dynamic filtering across all visuals</t>
  </si>
  <si>
    <t>Makes the dashboard scalable for future data</t>
  </si>
  <si>
    <t xml:space="preserve"> 1.Data Preparation &amp; Integration</t>
  </si>
  <si>
    <t>Functions Used</t>
  </si>
  <si>
    <t>MONTH(OrderDate) → Monthly analysis</t>
  </si>
  <si>
    <t>YEAR(OrderDate) → Year-wise filtering</t>
  </si>
  <si>
    <t>TEXT(OrderDate,"dddd") → Weekday analysis</t>
  </si>
  <si>
    <t>To identify:</t>
  </si>
  <si>
    <t>Monthly sales trends</t>
  </si>
  <si>
    <t>Weekday-wise performance</t>
  </si>
  <si>
    <t>Helps management understand seasonality, peak days, and sales patterns over time</t>
  </si>
  <si>
    <t>2.Date &amp; Time Analysis</t>
  </si>
  <si>
    <t>Pivot Table 1: Monthly Sales Trend</t>
  </si>
  <si>
    <t>Rows: Month</t>
  </si>
  <si>
    <t>Values: Sum of SalesAmount</t>
  </si>
  <si>
    <t>Show Values As: No Calculation</t>
  </si>
  <si>
    <t>Why</t>
  </si>
  <si>
    <t>Line charts work best with continuous time-based data</t>
  </si>
  <si>
    <t>Shows trends, growth, and fluctuations clearly</t>
  </si>
  <si>
    <t>3. Pivot Tables for Analysis</t>
  </si>
  <si>
    <t>Pivot Table 2: Top 5 Products by Sales</t>
  </si>
  <si>
    <t>Rows: Product Name</t>
  </si>
  <si>
    <t>Filter: Top 5 by Sales</t>
  </si>
  <si>
    <t>Helps identify high-performing products</t>
  </si>
  <si>
    <t>Supports inventory and sal</t>
  </si>
  <si>
    <t>Pivot Table 3: Sales Contribution by Category &amp; Region</t>
  </si>
  <si>
    <t>Rows: Category / Region</t>
  </si>
  <si>
    <t>Values: SalesAmount</t>
  </si>
  <si>
    <t>Show Values As: % of Grand Total</t>
  </si>
  <si>
    <t>Percentage view shows relative contribution</t>
  </si>
  <si>
    <t>Makes it easy to compare performance across categories and regions</t>
  </si>
  <si>
    <t>Slicers Used</t>
  </si>
  <si>
    <t>Month / Year</t>
  </si>
  <si>
    <t>Why slicers were used</t>
  </si>
  <si>
    <t>Enables dynamic filtering</t>
  </si>
  <si>
    <t>Allows management to explore data without formulas</t>
  </si>
  <si>
    <t>All PivotTables and charts update instantly</t>
  </si>
  <si>
    <t>4.Interactive Dashboard Features</t>
  </si>
  <si>
    <t>Features Used</t>
  </si>
  <si>
    <t>Quick Analysis</t>
  </si>
  <si>
    <t>Recommended PivotTables &amp; Charts</t>
  </si>
  <si>
    <t>AI-driven insights</t>
  </si>
  <si>
    <t>Faster insight generation</t>
  </si>
  <si>
    <t>Highlights trends and patterns automatically</t>
  </si>
  <si>
    <t>Reduces manual analysis time</t>
  </si>
  <si>
    <t>5.Excel AI &amp; Quick Analysis</t>
  </si>
  <si>
    <t>This approach combines data modeling, PivotTables, charts, slicers, and Excel AI tools to create a dynamic, scalable, and management-friendly dashboard.</t>
  </si>
  <si>
    <t>Each function and visualization was selected to ensure clarity, interactivity, and actionable insights for effective business decision-making.</t>
  </si>
  <si>
    <t>CONCLUSTION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</si>
</sst>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6"/>
      <color theme="1"/>
      <name val="Aptos Narrow (Body)"/>
    </font>
    <font>
      <sz val="18"/>
      <color theme="1"/>
      <name val="Aptos Narrow (Body)"/>
    </font>
    <font>
      <b/>
      <sz val="18"/>
      <color theme="1"/>
      <name val="Aptos Narrow (Body)"/>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7">
    <xf numFmtId="0" fontId="0" fillId="0" borderId="0" xfId="0"/>
    <xf numFmtId="0" fontId="0" fillId="0" borderId="0" xfId="0" applyAlignment="1">
      <alignment horizontal="center"/>
    </xf>
    <xf numFmtId="14" fontId="0" fillId="0" borderId="0" xfId="0" applyNumberFormat="1" applyAlignment="1">
      <alignment horizontal="center"/>
    </xf>
    <xf numFmtId="1" fontId="0" fillId="0" borderId="0" xfId="0" applyNumberFormat="1" applyAlignment="1">
      <alignment horizontal="center"/>
    </xf>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 fillId="0" borderId="0" xfId="0" applyFont="1"/>
    <xf numFmtId="0" fontId="2" fillId="0" borderId="0" xfId="0" applyFont="1"/>
    <xf numFmtId="0" fontId="3" fillId="0" borderId="0" xfId="0" applyFont="1"/>
  </cellXfs>
  <cellStyles count="1">
    <cellStyle name="Normal" xfId="0" builtinId="0"/>
  </cellStyles>
  <dxfs count="15">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[WEEK.4.xlsx]PIVOT TABLES!PivotTable15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TABLES'!$A$4:$A$7</c:f>
              <c:strCache>
                <c:ptCount val="3"/>
                <c:pt idx="0">
                  <c:v>Accessories</c:v>
                </c:pt>
                <c:pt idx="1">
                  <c:v>Electronics</c:v>
                </c:pt>
                <c:pt idx="2">
                  <c:v>Furniture</c:v>
                </c:pt>
              </c:strCache>
            </c:strRef>
          </c:cat>
          <c:val>
            <c:numRef>
              <c:f>'PIVOT TABLES'!$B$4:$B$7</c:f>
              <c:numCache>
                <c:formatCode>0.00%</c:formatCode>
                <c:ptCount val="3"/>
                <c:pt idx="0">
                  <c:v>0.35483870967741937</c:v>
                </c:pt>
                <c:pt idx="1">
                  <c:v>0.41290322580645161</c:v>
                </c:pt>
                <c:pt idx="2">
                  <c:v>0.23225806451612904</c:v>
                </c:pt>
              </c:numCache>
            </c:numRef>
          </c:val>
          <c:extLst>
            <c:ext xmlns:c16="http://schemas.microsoft.com/office/drawing/2014/chart" uri="{C3380CC4-5D6E-409C-BE32-E72D297353CC}">
              <c16:uniqueId val="{00000000-36EC-7340-9D59-D5513B87DFEC}"/>
            </c:ext>
          </c:extLst>
        </c:ser>
        <c:dLbls>
          <c:showLegendKey val="0"/>
          <c:showVal val="0"/>
          <c:showCatName val="0"/>
          <c:showSerName val="0"/>
          <c:showPercent val="0"/>
          <c:showBubbleSize val="0"/>
        </c:dLbls>
        <c:gapWidth val="219"/>
        <c:overlap val="-27"/>
        <c:axId val="122657792"/>
        <c:axId val="122661824"/>
      </c:barChart>
      <c:catAx>
        <c:axId val="12265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61824"/>
        <c:crosses val="autoZero"/>
        <c:auto val="1"/>
        <c:lblAlgn val="ctr"/>
        <c:lblOffset val="100"/>
        <c:noMultiLvlLbl val="0"/>
      </c:catAx>
      <c:valAx>
        <c:axId val="122661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5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[WEEK.4.xlsx]PIVOT TABLES!PivotTable16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TABLES'!$B$19</c:f>
              <c:strCache>
                <c:ptCount val="1"/>
                <c:pt idx="0">
                  <c:v>Total</c:v>
                </c:pt>
              </c:strCache>
            </c:strRef>
          </c:tx>
          <c:spPr>
            <a:ln w="28575" cap="rnd">
              <a:solidFill>
                <a:schemeClr val="accent1"/>
              </a:solidFill>
              <a:round/>
            </a:ln>
            <a:effectLst/>
          </c:spPr>
          <c:marker>
            <c:symbol val="none"/>
          </c:marker>
          <c:cat>
            <c:strRef>
              <c:f>'PIVOT TABLES'!$A$20:$A$23</c:f>
              <c:strCache>
                <c:ptCount val="3"/>
                <c:pt idx="0">
                  <c:v>4</c:v>
                </c:pt>
                <c:pt idx="1">
                  <c:v>8</c:v>
                </c:pt>
                <c:pt idx="2">
                  <c:v>10</c:v>
                </c:pt>
              </c:strCache>
            </c:strRef>
          </c:cat>
          <c:val>
            <c:numRef>
              <c:f>'PIVOT TABLES'!$B$20:$B$23</c:f>
              <c:numCache>
                <c:formatCode>General</c:formatCode>
                <c:ptCount val="3"/>
                <c:pt idx="0">
                  <c:v>550</c:v>
                </c:pt>
                <c:pt idx="1">
                  <c:v>640</c:v>
                </c:pt>
                <c:pt idx="2">
                  <c:v>360</c:v>
                </c:pt>
              </c:numCache>
            </c:numRef>
          </c:val>
          <c:smooth val="0"/>
          <c:extLst>
            <c:ext xmlns:c16="http://schemas.microsoft.com/office/drawing/2014/chart" uri="{C3380CC4-5D6E-409C-BE32-E72D297353CC}">
              <c16:uniqueId val="{00000000-66F2-394D-A262-261A8650A5BF}"/>
            </c:ext>
          </c:extLst>
        </c:ser>
        <c:dLbls>
          <c:showLegendKey val="0"/>
          <c:showVal val="0"/>
          <c:showCatName val="0"/>
          <c:showSerName val="0"/>
          <c:showPercent val="0"/>
          <c:showBubbleSize val="0"/>
        </c:dLbls>
        <c:smooth val="0"/>
        <c:axId val="112195136"/>
        <c:axId val="112185728"/>
      </c:lineChart>
      <c:catAx>
        <c:axId val="11219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85728"/>
        <c:crosses val="autoZero"/>
        <c:auto val="1"/>
        <c:lblAlgn val="ctr"/>
        <c:lblOffset val="100"/>
        <c:noMultiLvlLbl val="0"/>
      </c:catAx>
      <c:valAx>
        <c:axId val="11218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9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[WEEK.4.xlsx]SALES CONTRIBUTION ANALYSIS!PivotTable18</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CONTRIBUTION ANALYSIS'!$B$3:$B$4</c:f>
              <c:strCache>
                <c:ptCount val="1"/>
                <c:pt idx="0">
                  <c:v>Central</c:v>
                </c:pt>
              </c:strCache>
            </c:strRef>
          </c:tx>
          <c:spPr>
            <a:solidFill>
              <a:schemeClr val="accent1"/>
            </a:solidFill>
            <a:ln>
              <a:noFill/>
            </a:ln>
            <a:effectLst/>
            <a:sp3d/>
          </c:spPr>
          <c:invertIfNegative val="0"/>
          <c:cat>
            <c:strRef>
              <c:f>'SALES CONTRIBUTION ANALYSIS'!$A$5:$A$9</c:f>
              <c:strCache>
                <c:ptCount val="4"/>
                <c:pt idx="0">
                  <c:v>Accessories</c:v>
                </c:pt>
                <c:pt idx="1">
                  <c:v>Electronics</c:v>
                </c:pt>
                <c:pt idx="2">
                  <c:v>Furniture</c:v>
                </c:pt>
                <c:pt idx="3">
                  <c:v>Home</c:v>
                </c:pt>
              </c:strCache>
            </c:strRef>
          </c:cat>
          <c:val>
            <c:numRef>
              <c:f>'SALES CONTRIBUTION ANALYSIS'!$B$5:$B$9</c:f>
              <c:numCache>
                <c:formatCode>0.00%</c:formatCode>
                <c:ptCount val="4"/>
                <c:pt idx="0">
                  <c:v>8.3081570996978854E-2</c:v>
                </c:pt>
                <c:pt idx="1">
                  <c:v>9.6676737160120846E-2</c:v>
                </c:pt>
                <c:pt idx="2">
                  <c:v>5.4380664652567974E-2</c:v>
                </c:pt>
                <c:pt idx="3">
                  <c:v>0</c:v>
                </c:pt>
              </c:numCache>
            </c:numRef>
          </c:val>
          <c:extLst>
            <c:ext xmlns:c16="http://schemas.microsoft.com/office/drawing/2014/chart" uri="{C3380CC4-5D6E-409C-BE32-E72D297353CC}">
              <c16:uniqueId val="{00000000-1C75-E545-84F9-C5A5AA61852A}"/>
            </c:ext>
          </c:extLst>
        </c:ser>
        <c:ser>
          <c:idx val="1"/>
          <c:order val="1"/>
          <c:tx>
            <c:strRef>
              <c:f>'SALES CONTRIBUTION ANALYSIS'!$C$3:$C$4</c:f>
              <c:strCache>
                <c:ptCount val="1"/>
                <c:pt idx="0">
                  <c:v>East</c:v>
                </c:pt>
              </c:strCache>
            </c:strRef>
          </c:tx>
          <c:spPr>
            <a:solidFill>
              <a:schemeClr val="accent2"/>
            </a:solidFill>
            <a:ln>
              <a:noFill/>
            </a:ln>
            <a:effectLst/>
            <a:sp3d/>
          </c:spPr>
          <c:invertIfNegative val="0"/>
          <c:cat>
            <c:strRef>
              <c:f>'SALES CONTRIBUTION ANALYSIS'!$A$5:$A$9</c:f>
              <c:strCache>
                <c:ptCount val="4"/>
                <c:pt idx="0">
                  <c:v>Accessories</c:v>
                </c:pt>
                <c:pt idx="1">
                  <c:v>Electronics</c:v>
                </c:pt>
                <c:pt idx="2">
                  <c:v>Furniture</c:v>
                </c:pt>
                <c:pt idx="3">
                  <c:v>Home</c:v>
                </c:pt>
              </c:strCache>
            </c:strRef>
          </c:cat>
          <c:val>
            <c:numRef>
              <c:f>'SALES CONTRIBUTION ANALYSIS'!$C$5:$C$9</c:f>
              <c:numCache>
                <c:formatCode>0.00%</c:formatCode>
                <c:ptCount val="4"/>
                <c:pt idx="0">
                  <c:v>3.3232628398791542E-2</c:v>
                </c:pt>
                <c:pt idx="1">
                  <c:v>0.14501510574018128</c:v>
                </c:pt>
                <c:pt idx="2">
                  <c:v>0</c:v>
                </c:pt>
                <c:pt idx="3">
                  <c:v>1.812688821752266E-2</c:v>
                </c:pt>
              </c:numCache>
            </c:numRef>
          </c:val>
          <c:extLst>
            <c:ext xmlns:c16="http://schemas.microsoft.com/office/drawing/2014/chart" uri="{C3380CC4-5D6E-409C-BE32-E72D297353CC}">
              <c16:uniqueId val="{00000001-1C75-E545-84F9-C5A5AA61852A}"/>
            </c:ext>
          </c:extLst>
        </c:ser>
        <c:ser>
          <c:idx val="2"/>
          <c:order val="2"/>
          <c:tx>
            <c:strRef>
              <c:f>'SALES CONTRIBUTION ANALYSIS'!$D$3:$D$4</c:f>
              <c:strCache>
                <c:ptCount val="1"/>
                <c:pt idx="0">
                  <c:v>International</c:v>
                </c:pt>
              </c:strCache>
            </c:strRef>
          </c:tx>
          <c:spPr>
            <a:solidFill>
              <a:schemeClr val="accent3"/>
            </a:solidFill>
            <a:ln>
              <a:noFill/>
            </a:ln>
            <a:effectLst/>
            <a:sp3d/>
          </c:spPr>
          <c:invertIfNegative val="0"/>
          <c:cat>
            <c:strRef>
              <c:f>'SALES CONTRIBUTION ANALYSIS'!$A$5:$A$9</c:f>
              <c:strCache>
                <c:ptCount val="4"/>
                <c:pt idx="0">
                  <c:v>Accessories</c:v>
                </c:pt>
                <c:pt idx="1">
                  <c:v>Electronics</c:v>
                </c:pt>
                <c:pt idx="2">
                  <c:v>Furniture</c:v>
                </c:pt>
                <c:pt idx="3">
                  <c:v>Home</c:v>
                </c:pt>
              </c:strCache>
            </c:strRef>
          </c:cat>
          <c:val>
            <c:numRef>
              <c:f>'SALES CONTRIBUTION ANALYSIS'!$D$5:$D$9</c:f>
              <c:numCache>
                <c:formatCode>0.00%</c:formatCode>
                <c:ptCount val="4"/>
                <c:pt idx="0">
                  <c:v>0</c:v>
                </c:pt>
                <c:pt idx="1">
                  <c:v>0.21601208459214502</c:v>
                </c:pt>
                <c:pt idx="2">
                  <c:v>0.10876132930513595</c:v>
                </c:pt>
                <c:pt idx="3">
                  <c:v>0</c:v>
                </c:pt>
              </c:numCache>
            </c:numRef>
          </c:val>
          <c:extLst>
            <c:ext xmlns:c16="http://schemas.microsoft.com/office/drawing/2014/chart" uri="{C3380CC4-5D6E-409C-BE32-E72D297353CC}">
              <c16:uniqueId val="{00000002-1C75-E545-84F9-C5A5AA61852A}"/>
            </c:ext>
          </c:extLst>
        </c:ser>
        <c:ser>
          <c:idx val="3"/>
          <c:order val="3"/>
          <c:tx>
            <c:strRef>
              <c:f>'SALES CONTRIBUTION ANALYSIS'!$E$3:$E$4</c:f>
              <c:strCache>
                <c:ptCount val="1"/>
                <c:pt idx="0">
                  <c:v>West</c:v>
                </c:pt>
              </c:strCache>
            </c:strRef>
          </c:tx>
          <c:spPr>
            <a:solidFill>
              <a:schemeClr val="accent4"/>
            </a:solidFill>
            <a:ln>
              <a:noFill/>
            </a:ln>
            <a:effectLst/>
            <a:sp3d/>
          </c:spPr>
          <c:invertIfNegative val="0"/>
          <c:cat>
            <c:strRef>
              <c:f>'SALES CONTRIBUTION ANALYSIS'!$A$5:$A$9</c:f>
              <c:strCache>
                <c:ptCount val="4"/>
                <c:pt idx="0">
                  <c:v>Accessories</c:v>
                </c:pt>
                <c:pt idx="1">
                  <c:v>Electronics</c:v>
                </c:pt>
                <c:pt idx="2">
                  <c:v>Furniture</c:v>
                </c:pt>
                <c:pt idx="3">
                  <c:v>Home</c:v>
                </c:pt>
              </c:strCache>
            </c:strRef>
          </c:cat>
          <c:val>
            <c:numRef>
              <c:f>'SALES CONTRIBUTION ANALYSIS'!$E$5:$E$9</c:f>
              <c:numCache>
                <c:formatCode>0.00%</c:formatCode>
                <c:ptCount val="4"/>
                <c:pt idx="0">
                  <c:v>0</c:v>
                </c:pt>
                <c:pt idx="1">
                  <c:v>8.1570996978851965E-2</c:v>
                </c:pt>
                <c:pt idx="2">
                  <c:v>0</c:v>
                </c:pt>
                <c:pt idx="3">
                  <c:v>0.16314199395770393</c:v>
                </c:pt>
              </c:numCache>
            </c:numRef>
          </c:val>
          <c:extLst>
            <c:ext xmlns:c16="http://schemas.microsoft.com/office/drawing/2014/chart" uri="{C3380CC4-5D6E-409C-BE32-E72D297353CC}">
              <c16:uniqueId val="{00000003-1C75-E545-84F9-C5A5AA61852A}"/>
            </c:ext>
          </c:extLst>
        </c:ser>
        <c:dLbls>
          <c:showLegendKey val="0"/>
          <c:showVal val="0"/>
          <c:showCatName val="0"/>
          <c:showSerName val="0"/>
          <c:showPercent val="0"/>
          <c:showBubbleSize val="0"/>
        </c:dLbls>
        <c:gapWidth val="150"/>
        <c:shape val="box"/>
        <c:axId val="2005668223"/>
        <c:axId val="106643456"/>
        <c:axId val="0"/>
      </c:bar3DChart>
      <c:catAx>
        <c:axId val="2005668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3456"/>
        <c:crosses val="autoZero"/>
        <c:auto val="1"/>
        <c:lblAlgn val="ctr"/>
        <c:lblOffset val="100"/>
        <c:noMultiLvlLbl val="0"/>
      </c:catAx>
      <c:valAx>
        <c:axId val="1066434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66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25400</xdr:colOff>
      <xdr:row>1</xdr:row>
      <xdr:rowOff>158750</xdr:rowOff>
    </xdr:from>
    <xdr:to>
      <xdr:col>8</xdr:col>
      <xdr:colOff>469900</xdr:colOff>
      <xdr:row>15</xdr:row>
      <xdr:rowOff>57150</xdr:rowOff>
    </xdr:to>
    <xdr:graphicFrame macro="">
      <xdr:nvGraphicFramePr>
        <xdr:cNvPr id="2" name="Sales by contribution by category">
          <a:extLst>
            <a:ext uri="{FF2B5EF4-FFF2-40B4-BE49-F238E27FC236}">
              <a16:creationId xmlns:a16="http://schemas.microsoft.com/office/drawing/2014/main" id="{A7F85F51-B2CB-63F1-08AA-39FFA85F7F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25400</xdr:colOff>
      <xdr:row>18</xdr:row>
      <xdr:rowOff>82550</xdr:rowOff>
    </xdr:from>
    <xdr:to>
      <xdr:col>8</xdr:col>
      <xdr:colOff>469900</xdr:colOff>
      <xdr:row>31</xdr:row>
      <xdr:rowOff>184150</xdr:rowOff>
    </xdr:to>
    <xdr:graphicFrame macro="">
      <xdr:nvGraphicFramePr>
        <xdr:cNvPr id="3" name="Chart 2">
          <a:extLst>
            <a:ext uri="{FF2B5EF4-FFF2-40B4-BE49-F238E27FC236}">
              <a16:creationId xmlns:a16="http://schemas.microsoft.com/office/drawing/2014/main" id="{EB5A03E4-DC0F-7FC6-34C7-281FDAD9C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50800</xdr:colOff>
      <xdr:row>18</xdr:row>
      <xdr:rowOff>76200</xdr:rowOff>
    </xdr:from>
    <xdr:to>
      <xdr:col>11</xdr:col>
      <xdr:colOff>228600</xdr:colOff>
      <xdr:row>31</xdr:row>
      <xdr:rowOff>53972</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6221D27A-8E54-99A6-5756-101676D481E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216900" y="37338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25400</xdr:colOff>
      <xdr:row>32</xdr:row>
      <xdr:rowOff>127000</xdr:rowOff>
    </xdr:from>
    <xdr:to>
      <xdr:col>11</xdr:col>
      <xdr:colOff>203200</xdr:colOff>
      <xdr:row>45</xdr:row>
      <xdr:rowOff>104772</xdr:rowOff>
    </xdr:to>
    <mc:AlternateContent xmlns:mc="http://schemas.openxmlformats.org/markup-compatibility/2006">
      <mc:Choice xmlns:a14="http://schemas.microsoft.com/office/drawing/2010/main" Requires="a14">
        <xdr:graphicFrame macro="">
          <xdr:nvGraphicFramePr>
            <xdr:cNvPr id="5" name="Product Name">
              <a:extLst>
                <a:ext uri="{FF2B5EF4-FFF2-40B4-BE49-F238E27FC236}">
                  <a16:creationId xmlns:a16="http://schemas.microsoft.com/office/drawing/2014/main" id="{88504358-C475-7839-DEC9-34F4DE29AA9C}"/>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8191500" y="66294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25400</xdr:colOff>
      <xdr:row>1</xdr:row>
      <xdr:rowOff>177800</xdr:rowOff>
    </xdr:from>
    <xdr:to>
      <xdr:col>11</xdr:col>
      <xdr:colOff>203200</xdr:colOff>
      <xdr:row>14</xdr:row>
      <xdr:rowOff>155572</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014C9407-EE3C-436C-59C9-78DCFF9C47D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191500" y="381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457200</xdr:colOff>
      <xdr:row>8</xdr:row>
      <xdr:rowOff>12700</xdr:rowOff>
    </xdr:from>
    <xdr:to>
      <xdr:col>1</xdr:col>
      <xdr:colOff>1295400</xdr:colOff>
      <xdr:row>15</xdr:row>
      <xdr:rowOff>76200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E0E8012-BE47-49C2-5DF2-167836D2A0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57200" y="1638300"/>
              <a:ext cx="1828800" cy="1485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787400</xdr:colOff>
      <xdr:row>1</xdr:row>
      <xdr:rowOff>50800</xdr:rowOff>
    </xdr:from>
    <xdr:to>
      <xdr:col>12</xdr:col>
      <xdr:colOff>431800</xdr:colOff>
      <xdr:row>14</xdr:row>
      <xdr:rowOff>152400</xdr:rowOff>
    </xdr:to>
    <xdr:graphicFrame macro="">
      <xdr:nvGraphicFramePr>
        <xdr:cNvPr id="3" name="Chart 2">
          <a:extLst>
            <a:ext uri="{FF2B5EF4-FFF2-40B4-BE49-F238E27FC236}">
              <a16:creationId xmlns:a16="http://schemas.microsoft.com/office/drawing/2014/main" id="{9BE4C2AB-888A-834C-4BCD-79ED55D37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lu Alex" refreshedDate="46062.041142245369" createdVersion="8" refreshedVersion="8" minRefreshableVersion="3" recordCount="27" xr:uid="{762DFC57-040A-C947-92F4-D23617D08533}">
  <cacheSource type="worksheet">
    <worksheetSource ref="A1:M28" sheet="SALES"/>
  </cacheSource>
  <cacheFields count="13">
    <cacheField name="OrderID" numFmtId="0">
      <sharedItems containsBlank="1" containsMixedTypes="1" containsNumber="1" containsInteger="1" minValue="2001" maxValue="2012"/>
    </cacheField>
    <cacheField name="OrderDate" numFmtId="0">
      <sharedItems containsDate="1" containsBlank="1" containsMixedTypes="1" minDate="2000-09-18T00:00:00" maxDate="2025-12-24T00:00:00"/>
    </cacheField>
    <cacheField name="ProductID" numFmtId="0">
      <sharedItems containsBlank="1"/>
    </cacheField>
    <cacheField name="RegionID" numFmtId="0">
      <sharedItems containsBlank="1"/>
    </cacheField>
    <cacheField name="Quantity" numFmtId="0">
      <sharedItems containsString="0" containsBlank="1" containsNumber="1" containsInteger="1" minValue="1" maxValue="9"/>
    </cacheField>
    <cacheField name="SalesAmount" numFmtId="0">
      <sharedItems containsString="0" containsBlank="1" containsNumber="1" containsInteger="1" minValue="120" maxValue="1080"/>
    </cacheField>
    <cacheField name="Date" numFmtId="0">
      <sharedItems containsString="0" containsBlank="1" containsNumber="1" containsInteger="1" minValue="2" maxValue="27"/>
    </cacheField>
    <cacheField name="Month" numFmtId="0">
      <sharedItems containsString="0" containsBlank="1" containsNumber="1" containsInteger="1" minValue="1" maxValue="12" count="12">
        <n v="2"/>
        <n v="3"/>
        <n v="4"/>
        <n v="11"/>
        <n v="1"/>
        <n v="7"/>
        <n v="8"/>
        <n v="9"/>
        <n v="12"/>
        <n v="10"/>
        <n v="5"/>
        <m/>
      </sharedItems>
    </cacheField>
    <cacheField name="year" numFmtId="0">
      <sharedItems containsString="0" containsBlank="1" containsNumber="1" containsInteger="1" minValue="2000" maxValue="2025"/>
    </cacheField>
    <cacheField name="Product Name" numFmtId="0">
      <sharedItems containsBlank="1" count="7">
        <s v="Monitor"/>
        <s v="Printer"/>
        <s v="Keyboard"/>
        <s v="Lamp"/>
        <s v="Desk"/>
        <s v="Webcam"/>
        <m/>
      </sharedItems>
    </cacheField>
    <cacheField name="Category" numFmtId="0">
      <sharedItems containsBlank="1" count="5">
        <s v="Electronics"/>
        <s v="Accessories"/>
        <s v="Home"/>
        <s v="Furniture"/>
        <m/>
      </sharedItems>
    </cacheField>
    <cacheField name="Region" numFmtId="0">
      <sharedItems containsBlank="1" count="5">
        <s v="East"/>
        <s v="West"/>
        <s v="Central"/>
        <s v="International"/>
        <m/>
      </sharedItems>
    </cacheField>
    <cacheField name="weekday" numFmtId="0">
      <sharedItems containsBlank="1"/>
    </cacheField>
  </cacheFields>
  <extLst>
    <ext xmlns:x14="http://schemas.microsoft.com/office/spreadsheetml/2009/9/main" uri="{725AE2AE-9491-48be-B2B4-4EB974FC3084}">
      <x14:pivotCacheDefinition pivotCacheId="14301263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n v="2001"/>
    <d v="2021-02-02T00:00:00"/>
    <s v="X1"/>
    <s v="Z1"/>
    <n v="8"/>
    <n v="960"/>
    <n v="2"/>
    <x v="0"/>
    <n v="2021"/>
    <x v="0"/>
    <x v="0"/>
    <x v="0"/>
    <s v="Tuesday"/>
  </r>
  <r>
    <n v="2002"/>
    <d v="2022-03-04T00:00:00"/>
    <s v="X3"/>
    <s v="Z2"/>
    <n v="2"/>
    <n v="180"/>
    <n v="4"/>
    <x v="1"/>
    <n v="2022"/>
    <x v="1"/>
    <x v="0"/>
    <x v="1"/>
    <s v="Friday"/>
  </r>
  <r>
    <n v="2003"/>
    <d v="2023-04-06T00:00:00"/>
    <s v="X2"/>
    <s v="Z3"/>
    <n v="5"/>
    <n v="550"/>
    <n v="6"/>
    <x v="2"/>
    <n v="2023"/>
    <x v="2"/>
    <x v="1"/>
    <x v="2"/>
    <s v="Thursday"/>
  </r>
  <r>
    <n v="2004"/>
    <d v="2024-11-09T00:00:00"/>
    <s v="X5"/>
    <s v="Z1"/>
    <n v="1"/>
    <n v="120"/>
    <n v="9"/>
    <x v="3"/>
    <n v="2024"/>
    <x v="3"/>
    <x v="2"/>
    <x v="0"/>
    <s v="Saturday"/>
  </r>
  <r>
    <n v="2005"/>
    <d v="2025-01-11T00:00:00"/>
    <s v="X4"/>
    <s v="Z4"/>
    <n v="6"/>
    <n v="720"/>
    <n v="11"/>
    <x v="4"/>
    <n v="2025"/>
    <x v="4"/>
    <x v="3"/>
    <x v="3"/>
    <s v="Saturday"/>
  </r>
  <r>
    <n v="2006"/>
    <d v="2025-07-13T00:00:00"/>
    <s v="X1"/>
    <s v="Z2"/>
    <n v="3"/>
    <n v="360"/>
    <n v="13"/>
    <x v="5"/>
    <n v="2025"/>
    <x v="0"/>
    <x v="0"/>
    <x v="1"/>
    <s v="Sunday"/>
  </r>
  <r>
    <n v="2007"/>
    <d v="2025-08-15T00:00:00"/>
    <s v="X6"/>
    <s v="Z3"/>
    <n v="4"/>
    <n v="640"/>
    <n v="15"/>
    <x v="6"/>
    <n v="2025"/>
    <x v="5"/>
    <x v="0"/>
    <x v="2"/>
    <s v="Friday"/>
  </r>
  <r>
    <n v="2008"/>
    <d v="2000-09-18T00:00:00"/>
    <s v="X3"/>
    <s v="Z4"/>
    <n v="7"/>
    <n v="630"/>
    <n v="18"/>
    <x v="7"/>
    <n v="2000"/>
    <x v="1"/>
    <x v="0"/>
    <x v="3"/>
    <s v="Monday"/>
  </r>
  <r>
    <n v="2009"/>
    <d v="2025-01-20T00:00:00"/>
    <s v="X2"/>
    <s v="Z1"/>
    <n v="2"/>
    <n v="220"/>
    <n v="20"/>
    <x v="4"/>
    <n v="2025"/>
    <x v="2"/>
    <x v="1"/>
    <x v="0"/>
    <s v="Monday"/>
  </r>
  <r>
    <n v="2010"/>
    <d v="2025-12-23T00:00:00"/>
    <s v="X5"/>
    <s v="Z2"/>
    <n v="9"/>
    <n v="1080"/>
    <n v="23"/>
    <x v="8"/>
    <n v="2025"/>
    <x v="3"/>
    <x v="2"/>
    <x v="1"/>
    <s v="Tuesday"/>
  </r>
  <r>
    <n v="2011"/>
    <d v="2025-10-25T00:00:00"/>
    <s v="X4"/>
    <s v="Z3"/>
    <n v="3"/>
    <n v="360"/>
    <n v="25"/>
    <x v="9"/>
    <n v="2025"/>
    <x v="4"/>
    <x v="3"/>
    <x v="2"/>
    <s v="Saturday"/>
  </r>
  <r>
    <n v="2012"/>
    <d v="2025-05-27T00:00:00"/>
    <s v="X6"/>
    <s v="Z4"/>
    <n v="5"/>
    <n v="800"/>
    <n v="27"/>
    <x v="10"/>
    <n v="2025"/>
    <x v="5"/>
    <x v="0"/>
    <x v="3"/>
    <s v="Tuesday"/>
  </r>
  <r>
    <m/>
    <m/>
    <m/>
    <m/>
    <m/>
    <m/>
    <m/>
    <x v="11"/>
    <m/>
    <x v="6"/>
    <x v="4"/>
    <x v="4"/>
    <m/>
  </r>
  <r>
    <m/>
    <m/>
    <m/>
    <m/>
    <m/>
    <m/>
    <m/>
    <x v="11"/>
    <m/>
    <x v="6"/>
    <x v="4"/>
    <x v="4"/>
    <m/>
  </r>
  <r>
    <s v="ProductID"/>
    <s v="ProductName"/>
    <s v="Category"/>
    <m/>
    <m/>
    <m/>
    <m/>
    <x v="11"/>
    <m/>
    <x v="6"/>
    <x v="4"/>
    <x v="4"/>
    <m/>
  </r>
  <r>
    <s v="X1"/>
    <s v="Monitor"/>
    <s v="Electronics"/>
    <m/>
    <m/>
    <m/>
    <m/>
    <x v="11"/>
    <m/>
    <x v="6"/>
    <x v="4"/>
    <x v="4"/>
    <m/>
  </r>
  <r>
    <s v="X2"/>
    <s v="Keyboard"/>
    <s v="Accessories"/>
    <m/>
    <m/>
    <m/>
    <m/>
    <x v="11"/>
    <m/>
    <x v="6"/>
    <x v="4"/>
    <x v="4"/>
    <m/>
  </r>
  <r>
    <s v="X3"/>
    <s v="Printer"/>
    <s v="Electronics"/>
    <m/>
    <m/>
    <m/>
    <m/>
    <x v="11"/>
    <m/>
    <x v="6"/>
    <x v="4"/>
    <x v="4"/>
    <m/>
  </r>
  <r>
    <s v="X4"/>
    <s v="Desk"/>
    <s v="Furniture"/>
    <m/>
    <m/>
    <m/>
    <m/>
    <x v="11"/>
    <m/>
    <x v="6"/>
    <x v="4"/>
    <x v="4"/>
    <m/>
  </r>
  <r>
    <s v="X5"/>
    <s v="Lamp"/>
    <s v="Home"/>
    <m/>
    <m/>
    <m/>
    <m/>
    <x v="11"/>
    <m/>
    <x v="6"/>
    <x v="4"/>
    <x v="4"/>
    <m/>
  </r>
  <r>
    <s v="X6"/>
    <s v="Webcam"/>
    <s v="Electronics"/>
    <m/>
    <m/>
    <m/>
    <m/>
    <x v="11"/>
    <m/>
    <x v="6"/>
    <x v="4"/>
    <x v="4"/>
    <m/>
  </r>
  <r>
    <m/>
    <m/>
    <m/>
    <m/>
    <m/>
    <m/>
    <m/>
    <x v="11"/>
    <m/>
    <x v="6"/>
    <x v="4"/>
    <x v="4"/>
    <m/>
  </r>
  <r>
    <s v="RegionID"/>
    <s v="RegionName"/>
    <m/>
    <m/>
    <m/>
    <m/>
    <m/>
    <x v="11"/>
    <m/>
    <x v="6"/>
    <x v="4"/>
    <x v="4"/>
    <m/>
  </r>
  <r>
    <s v="Z1"/>
    <s v="East"/>
    <m/>
    <m/>
    <m/>
    <m/>
    <m/>
    <x v="11"/>
    <m/>
    <x v="6"/>
    <x v="4"/>
    <x v="4"/>
    <m/>
  </r>
  <r>
    <s v="Z2"/>
    <s v="West"/>
    <m/>
    <m/>
    <m/>
    <m/>
    <m/>
    <x v="11"/>
    <m/>
    <x v="6"/>
    <x v="4"/>
    <x v="4"/>
    <m/>
  </r>
  <r>
    <s v="Z3"/>
    <s v="Central"/>
    <m/>
    <m/>
    <m/>
    <m/>
    <m/>
    <x v="11"/>
    <m/>
    <x v="6"/>
    <x v="4"/>
    <x v="4"/>
    <m/>
  </r>
  <r>
    <s v="Z4"/>
    <s v="International"/>
    <m/>
    <m/>
    <m/>
    <m/>
    <m/>
    <x v="11"/>
    <m/>
    <x v="6"/>
    <x v="4"/>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FABAEF-F1DE-A048-BC04-C5A4947A6D8F}" name="PivotTable17"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39" firstHeaderRow="1" firstDataRow="1" firstDataCol="1"/>
  <pivotFields count="13">
    <pivotField showAll="0"/>
    <pivotField showAll="0"/>
    <pivotField showAll="0"/>
    <pivotField showAll="0"/>
    <pivotField showAll="0"/>
    <pivotField dataField="1" showAll="0"/>
    <pivotField showAll="0"/>
    <pivotField showAll="0"/>
    <pivotField showAll="0"/>
    <pivotField axis="axisRow" showAll="0">
      <items count="8">
        <item x="4"/>
        <item x="2"/>
        <item x="3"/>
        <item x="0"/>
        <item x="1"/>
        <item x="5"/>
        <item x="6"/>
        <item t="default"/>
      </items>
    </pivotField>
    <pivotField showAll="0">
      <items count="6">
        <item x="1"/>
        <item x="0"/>
        <item x="3"/>
        <item x="2"/>
        <item h="1" x="4"/>
        <item t="default"/>
      </items>
    </pivotField>
    <pivotField showAll="0">
      <items count="6">
        <item x="2"/>
        <item h="1" x="0"/>
        <item h="1" x="3"/>
        <item h="1" x="1"/>
        <item h="1" x="4"/>
        <item t="default"/>
      </items>
    </pivotField>
    <pivotField showAll="0"/>
  </pivotFields>
  <rowFields count="1">
    <field x="9"/>
  </rowFields>
  <rowItems count="4">
    <i>
      <x/>
    </i>
    <i>
      <x v="1"/>
    </i>
    <i>
      <x v="5"/>
    </i>
    <i t="grand">
      <x/>
    </i>
  </rowItems>
  <colItems count="1">
    <i/>
  </colItems>
  <dataFields count="1">
    <dataField name="Sum of Sales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AC1D88-CFD5-934D-B674-21A360A30AD3}" name="PivotTable16"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9:B23" firstHeaderRow="1" firstDataRow="1" firstDataCol="1"/>
  <pivotFields count="13">
    <pivotField showAll="0"/>
    <pivotField showAll="0"/>
    <pivotField showAll="0"/>
    <pivotField showAll="0"/>
    <pivotField showAll="0"/>
    <pivotField dataField="1" showAll="0"/>
    <pivotField showAll="0"/>
    <pivotField axis="axisRow" showAll="0">
      <items count="13">
        <item x="4"/>
        <item x="0"/>
        <item x="1"/>
        <item x="2"/>
        <item x="10"/>
        <item x="5"/>
        <item x="6"/>
        <item x="7"/>
        <item x="9"/>
        <item x="3"/>
        <item x="8"/>
        <item x="11"/>
        <item t="default"/>
      </items>
    </pivotField>
    <pivotField showAll="0"/>
    <pivotField showAll="0">
      <items count="8">
        <item x="4"/>
        <item x="2"/>
        <item x="3"/>
        <item x="0"/>
        <item x="1"/>
        <item x="5"/>
        <item x="6"/>
        <item t="default"/>
      </items>
    </pivotField>
    <pivotField showAll="0">
      <items count="6">
        <item x="1"/>
        <item x="0"/>
        <item x="3"/>
        <item x="2"/>
        <item h="1" x="4"/>
        <item t="default"/>
      </items>
    </pivotField>
    <pivotField showAll="0">
      <items count="6">
        <item x="2"/>
        <item h="1" x="0"/>
        <item h="1" x="3"/>
        <item h="1" x="1"/>
        <item h="1" x="4"/>
        <item t="default"/>
      </items>
    </pivotField>
    <pivotField showAll="0"/>
  </pivotFields>
  <rowFields count="1">
    <field x="7"/>
  </rowFields>
  <rowItems count="4">
    <i>
      <x v="3"/>
    </i>
    <i>
      <x v="6"/>
    </i>
    <i>
      <x v="8"/>
    </i>
    <i t="grand">
      <x/>
    </i>
  </rowItems>
  <colItems count="1">
    <i/>
  </colItems>
  <dataFields count="1">
    <dataField name="Sum of SalesAmount"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649D3F-0CEA-E547-8619-487C5203B1EF}" name="PivotTable15"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3">
    <pivotField showAll="0"/>
    <pivotField showAll="0"/>
    <pivotField showAll="0"/>
    <pivotField showAll="0"/>
    <pivotField showAll="0"/>
    <pivotField dataField="1" showAll="0"/>
    <pivotField showAll="0"/>
    <pivotField showAll="0">
      <items count="13">
        <item x="4"/>
        <item x="0"/>
        <item x="1"/>
        <item x="2"/>
        <item x="10"/>
        <item x="5"/>
        <item x="6"/>
        <item x="7"/>
        <item x="9"/>
        <item x="3"/>
        <item x="8"/>
        <item x="11"/>
        <item t="default"/>
      </items>
    </pivotField>
    <pivotField showAll="0"/>
    <pivotField showAll="0">
      <items count="8">
        <item x="4"/>
        <item x="2"/>
        <item x="3"/>
        <item x="0"/>
        <item x="1"/>
        <item x="5"/>
        <item x="6"/>
        <item t="default"/>
      </items>
    </pivotField>
    <pivotField axis="axisRow" showAll="0">
      <items count="6">
        <item x="1"/>
        <item x="0"/>
        <item x="3"/>
        <item x="2"/>
        <item h="1" x="4"/>
        <item t="default"/>
      </items>
    </pivotField>
    <pivotField showAll="0">
      <items count="6">
        <item x="2"/>
        <item h="1" x="0"/>
        <item h="1" x="3"/>
        <item h="1" x="1"/>
        <item h="1" x="4"/>
        <item t="default"/>
      </items>
    </pivotField>
    <pivotField showAll="0"/>
  </pivotFields>
  <rowFields count="1">
    <field x="10"/>
  </rowFields>
  <rowItems count="4">
    <i>
      <x/>
    </i>
    <i>
      <x v="1"/>
    </i>
    <i>
      <x v="2"/>
    </i>
    <i t="grand">
      <x/>
    </i>
  </rowItems>
  <colItems count="1">
    <i/>
  </colItems>
  <dataFields count="1">
    <dataField name="Sum of SalesAmount" fld="5"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FF0B33-6F5D-8246-A6D9-0C2E45C8CA1D}" name="PivotTable18"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F9" firstHeaderRow="1" firstDataRow="2" firstDataCol="1"/>
  <pivotFields count="13">
    <pivotField showAll="0"/>
    <pivotField showAll="0"/>
    <pivotField showAll="0"/>
    <pivotField showAll="0"/>
    <pivotField showAll="0"/>
    <pivotField dataField="1" showAll="0"/>
    <pivotField showAll="0"/>
    <pivotField showAll="0"/>
    <pivotField showAll="0"/>
    <pivotField showAll="0"/>
    <pivotField axis="axisRow" showAll="0">
      <items count="6">
        <item x="1"/>
        <item x="0"/>
        <item x="3"/>
        <item x="2"/>
        <item h="1" x="4"/>
        <item t="default"/>
      </items>
    </pivotField>
    <pivotField axis="axisCol" showAll="0">
      <items count="6">
        <item x="2"/>
        <item x="0"/>
        <item x="3"/>
        <item x="1"/>
        <item x="4"/>
        <item t="default"/>
      </items>
    </pivotField>
    <pivotField showAll="0"/>
  </pivotFields>
  <rowFields count="1">
    <field x="10"/>
  </rowFields>
  <rowItems count="5">
    <i>
      <x/>
    </i>
    <i>
      <x v="1"/>
    </i>
    <i>
      <x v="2"/>
    </i>
    <i>
      <x v="3"/>
    </i>
    <i t="grand">
      <x/>
    </i>
  </rowItems>
  <colFields count="1">
    <field x="11"/>
  </colFields>
  <colItems count="5">
    <i>
      <x/>
    </i>
    <i>
      <x v="1"/>
    </i>
    <i>
      <x v="2"/>
    </i>
    <i>
      <x v="3"/>
    </i>
    <i t="grand">
      <x/>
    </i>
  </colItems>
  <dataFields count="1">
    <dataField name="Sum of SalesAmount" fld="5" showDataAs="percentOfTotal" baseField="0" baseItem="0" numFmtId="1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43B1365-C615-0B40-9BD9-825FFC6E9C96}" sourceName="Month">
  <pivotTables>
    <pivotTable tabId="3" name="PivotTable15"/>
  </pivotTables>
  <data>
    <tabular pivotCacheId="1430126354">
      <items count="12">
        <i x="2" s="1"/>
        <i x="6" s="1"/>
        <i x="9" s="1"/>
        <i x="4" s="1" nd="1"/>
        <i x="0" s="1" nd="1"/>
        <i x="1" s="1" nd="1"/>
        <i x="10" s="1" nd="1"/>
        <i x="5" s="1" nd="1"/>
        <i x="7" s="1" nd="1"/>
        <i x="3" s="1" nd="1"/>
        <i x="8" s="1" nd="1"/>
        <i x="1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2A083F8A-57D2-4942-B1B1-D6AF184CC192}" sourceName="Product Name">
  <pivotTables>
    <pivotTable tabId="3" name="PivotTable15"/>
    <pivotTable tabId="3" name="PivotTable16"/>
    <pivotTable tabId="3" name="PivotTable17"/>
  </pivotTables>
  <data>
    <tabular pivotCacheId="1430126354">
      <items count="7">
        <i x="4" s="1"/>
        <i x="2" s="1"/>
        <i x="5" s="1"/>
        <i x="3" s="1" nd="1"/>
        <i x="0" s="1" nd="1"/>
        <i x="1" s="1" nd="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4B9F3A9-0B17-9540-B905-E7462D285859}" sourceName="Category">
  <pivotTables>
    <pivotTable tabId="3" name="PivotTable15"/>
    <pivotTable tabId="3" name="PivotTable16"/>
    <pivotTable tabId="3" name="PivotTable17"/>
  </pivotTables>
  <data>
    <tabular pivotCacheId="1430126354">
      <items count="5">
        <i x="1" s="1"/>
        <i x="0" s="1"/>
        <i x="3" s="1"/>
        <i x="2" s="1" nd="1"/>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275956-27A8-844D-9F0F-10A3E5E755B9}" sourceName="Region">
  <pivotTables>
    <pivotTable tabId="3" name="PivotTable15"/>
    <pivotTable tabId="3" name="PivotTable16"/>
    <pivotTable tabId="3" name="PivotTable17"/>
  </pivotTables>
  <data>
    <tabular pivotCacheId="1430126354">
      <items count="5">
        <i x="2" s="1"/>
        <i x="0"/>
        <i x="3"/>
        <i x="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1C41ECF-D878-ED45-B9BD-2472B9439EDF}" cache="Slicer_Month" caption="Month" rowHeight="251883"/>
  <slicer name="Product Name" xr10:uid="{B3C836F9-3C96-E846-9175-2831D28A3BD6}" cache="Slicer_Product_Name" caption="Product Name" rowHeight="251883"/>
  <slicer name="Category" xr10:uid="{D4EF719F-F846-F342-871D-DEC5990A18FF}" cache="Slicer_Category" caption="Category" rowHeight="251883"/>
  <slicer name="Region" xr10:uid="{5670D67D-622C-5043-99C6-F46E95E29F54}" cache="Slicer_Region" caption="Region"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4D3A53-C597-C349-B4FF-DC5AA64E2689}" name="Table1" displayName="Table1" ref="A1:M13" totalsRowShown="0" headerRowDxfId="14" dataDxfId="13">
  <autoFilter ref="A1:M13" xr:uid="{844D3A53-C597-C349-B4FF-DC5AA64E2689}"/>
  <tableColumns count="13">
    <tableColumn id="1" xr3:uid="{8247DEC7-E631-334B-A12C-E281A1463B91}" name="OrderID" dataDxfId="12"/>
    <tableColumn id="2" xr3:uid="{108E7B2D-58D3-A547-AADB-5E58FCB815FF}" name="OrderDate" dataDxfId="11"/>
    <tableColumn id="3" xr3:uid="{E189BB1A-9799-E04E-8E42-101729D3D95B}" name="ProductID" dataDxfId="10"/>
    <tableColumn id="4" xr3:uid="{C03235F6-DCB2-374D-91B8-D8D3715FC757}" name="RegionID" dataDxfId="9"/>
    <tableColumn id="5" xr3:uid="{D1A013CB-5B5A-114B-9E2F-BD03089FA343}" name="Quantity" dataDxfId="8"/>
    <tableColumn id="6" xr3:uid="{9840C5B4-F5E2-AC4B-9889-161E7C16A5BC}" name="SalesAmount" dataDxfId="7"/>
    <tableColumn id="7" xr3:uid="{24359356-DCCA-C140-9AAE-1FB216C20CA8}" name="Date" dataDxfId="6">
      <calculatedColumnFormula>DAY(Table1[[#This Row],[OrderDate]])</calculatedColumnFormula>
    </tableColumn>
    <tableColumn id="8" xr3:uid="{86E4A8F5-73A2-954E-B171-873C7C2446E2}" name="Month" dataDxfId="5">
      <calculatedColumnFormula>MONTH(Table1[[#This Row],[OrderDate]])</calculatedColumnFormula>
    </tableColumn>
    <tableColumn id="9" xr3:uid="{E3A888A0-7EEF-2941-94FB-BD68CA2774B6}" name="year" dataDxfId="4">
      <calculatedColumnFormula>YEAR(Table1[[#This Row],[OrderDate]])</calculatedColumnFormula>
    </tableColumn>
    <tableColumn id="10" xr3:uid="{39D9D81F-FE21-D34F-A864-8778DC8240FA}" name="Product Name" dataDxfId="3">
      <calculatedColumnFormula>VLOOKUP(Table1[[#This Row],[ProductID]],$A$17:$C$22,2,FALSE)</calculatedColumnFormula>
    </tableColumn>
    <tableColumn id="11" xr3:uid="{D06856CE-1C3E-4546-92C4-0492A964BB31}" name="Category" dataDxfId="2">
      <calculatedColumnFormula>VLOOKUP(Table1[[#This Row],[ProductID]],$A$17:$C$22,3,FALSE)</calculatedColumnFormula>
    </tableColumn>
    <tableColumn id="12" xr3:uid="{F6C6A4F3-D47C-2C48-B8F3-8BC0C5587E4F}" name="Region" dataDxfId="1">
      <calculatedColumnFormula>VLOOKUP(Table1[[#This Row],[RegionID]],$A$25:$B$28,2,FALSE)</calculatedColumnFormula>
    </tableColumn>
    <tableColumn id="13" xr3:uid="{18A99FDD-5075-2241-AF6E-3F41F4DE21B5}" name="weekday" dataDxfId="0">
      <calculatedColumnFormula>TEXT(B2,"dddd")</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73B5C-675B-D14A-A74D-EBB54034FD6F}">
  <dimension ref="A1:M28"/>
  <sheetViews>
    <sheetView workbookViewId="0">
      <selection activeCell="A12" sqref="A12"/>
    </sheetView>
  </sheetViews>
  <sheetFormatPr baseColWidth="10" defaultRowHeight="16" x14ac:dyDescent="0.2"/>
  <sheetData>
    <row r="1" spans="1:13" x14ac:dyDescent="0.2">
      <c r="A1" s="1" t="s">
        <v>0</v>
      </c>
      <c r="B1" s="2" t="s">
        <v>1</v>
      </c>
      <c r="C1" s="1" t="s">
        <v>2</v>
      </c>
      <c r="D1" s="1" t="s">
        <v>3</v>
      </c>
      <c r="E1" s="1" t="s">
        <v>4</v>
      </c>
      <c r="F1" s="1" t="s">
        <v>5</v>
      </c>
      <c r="G1" s="1" t="s">
        <v>6</v>
      </c>
      <c r="H1" s="1" t="s">
        <v>7</v>
      </c>
      <c r="I1" s="1" t="s">
        <v>8</v>
      </c>
      <c r="J1" s="1" t="s">
        <v>9</v>
      </c>
      <c r="K1" s="1" t="s">
        <v>10</v>
      </c>
      <c r="L1" s="1" t="s">
        <v>11</v>
      </c>
      <c r="M1" s="1" t="s">
        <v>12</v>
      </c>
    </row>
    <row r="2" spans="1:13" x14ac:dyDescent="0.2">
      <c r="A2" s="1">
        <v>2001</v>
      </c>
      <c r="B2" s="2">
        <v>44229</v>
      </c>
      <c r="C2" s="1" t="s">
        <v>13</v>
      </c>
      <c r="D2" s="1" t="s">
        <v>14</v>
      </c>
      <c r="E2" s="1">
        <v>8</v>
      </c>
      <c r="F2" s="1">
        <v>960</v>
      </c>
      <c r="G2" s="1">
        <f>DAY(Table1[[#This Row],[OrderDate]])</f>
        <v>2</v>
      </c>
      <c r="H2" s="3">
        <f>MONTH(Table1[[#This Row],[OrderDate]])</f>
        <v>2</v>
      </c>
      <c r="I2" s="1">
        <f>YEAR(Table1[[#This Row],[OrderDate]])</f>
        <v>2021</v>
      </c>
      <c r="J2" s="1" t="str">
        <f>VLOOKUP(Table1[[#This Row],[ProductID]],$A$17:$C$22,2,FALSE)</f>
        <v>Monitor</v>
      </c>
      <c r="K2" s="1" t="str">
        <f>VLOOKUP(Table1[[#This Row],[ProductID]],$A$17:$C$22,3,FALSE)</f>
        <v>Electronics</v>
      </c>
      <c r="L2" s="1" t="str">
        <f>VLOOKUP(Table1[[#This Row],[RegionID]],$A$25:$B$28,2,FALSE)</f>
        <v>East</v>
      </c>
      <c r="M2" s="1" t="str">
        <f>TEXT(B2,"dddd")</f>
        <v>Tuesday</v>
      </c>
    </row>
    <row r="3" spans="1:13" x14ac:dyDescent="0.2">
      <c r="A3" s="1">
        <v>2002</v>
      </c>
      <c r="B3" s="2">
        <v>44624</v>
      </c>
      <c r="C3" s="1" t="s">
        <v>15</v>
      </c>
      <c r="D3" s="1" t="s">
        <v>16</v>
      </c>
      <c r="E3" s="1">
        <v>2</v>
      </c>
      <c r="F3" s="1">
        <v>180</v>
      </c>
      <c r="G3" s="1">
        <f>DAY(Table1[[#This Row],[OrderDate]])</f>
        <v>4</v>
      </c>
      <c r="H3" s="3">
        <f>MONTH(Table1[[#This Row],[OrderDate]])</f>
        <v>3</v>
      </c>
      <c r="I3" s="1">
        <f>YEAR(Table1[[#This Row],[OrderDate]])</f>
        <v>2022</v>
      </c>
      <c r="J3" s="1" t="str">
        <f>VLOOKUP(Table1[[#This Row],[ProductID]],$A$17:$C$22,2,FALSE)</f>
        <v>Printer</v>
      </c>
      <c r="K3" s="1" t="str">
        <f>VLOOKUP(Table1[[#This Row],[ProductID]],$A$17:$C$22,3,FALSE)</f>
        <v>Electronics</v>
      </c>
      <c r="L3" s="1" t="str">
        <f>VLOOKUP(Table1[[#This Row],[RegionID]],$A$25:$B$28,2,FALSE)</f>
        <v>West</v>
      </c>
      <c r="M3" s="1" t="str">
        <f t="shared" ref="M3:M13" si="0">TEXT(B3,"dddd")</f>
        <v>Friday</v>
      </c>
    </row>
    <row r="4" spans="1:13" x14ac:dyDescent="0.2">
      <c r="A4" s="1">
        <v>2003</v>
      </c>
      <c r="B4" s="2">
        <v>45022</v>
      </c>
      <c r="C4" s="1" t="s">
        <v>17</v>
      </c>
      <c r="D4" s="1" t="s">
        <v>18</v>
      </c>
      <c r="E4" s="1">
        <v>5</v>
      </c>
      <c r="F4" s="1">
        <v>550</v>
      </c>
      <c r="G4" s="1">
        <f>DAY(Table1[[#This Row],[OrderDate]])</f>
        <v>6</v>
      </c>
      <c r="H4" s="3">
        <f>MONTH(Table1[[#This Row],[OrderDate]])</f>
        <v>4</v>
      </c>
      <c r="I4" s="1">
        <f>YEAR(Table1[[#This Row],[OrderDate]])</f>
        <v>2023</v>
      </c>
      <c r="J4" s="1" t="str">
        <f>VLOOKUP(Table1[[#This Row],[ProductID]],$A$17:$C$22,2,FALSE)</f>
        <v>Keyboard</v>
      </c>
      <c r="K4" s="1" t="str">
        <f>VLOOKUP(Table1[[#This Row],[ProductID]],$A$17:$C$22,3,FALSE)</f>
        <v>Accessories</v>
      </c>
      <c r="L4" s="1" t="str">
        <f>VLOOKUP(Table1[[#This Row],[RegionID]],$A$25:$B$28,2,FALSE)</f>
        <v>Central</v>
      </c>
      <c r="M4" s="1" t="str">
        <f t="shared" si="0"/>
        <v>Thursday</v>
      </c>
    </row>
    <row r="5" spans="1:13" x14ac:dyDescent="0.2">
      <c r="A5" s="1">
        <v>2004</v>
      </c>
      <c r="B5" s="2">
        <v>45605</v>
      </c>
      <c r="C5" s="1" t="s">
        <v>19</v>
      </c>
      <c r="D5" s="1" t="s">
        <v>14</v>
      </c>
      <c r="E5" s="1">
        <v>1</v>
      </c>
      <c r="F5" s="1">
        <v>120</v>
      </c>
      <c r="G5" s="1">
        <f>DAY(Table1[[#This Row],[OrderDate]])</f>
        <v>9</v>
      </c>
      <c r="H5" s="3">
        <f>MONTH(Table1[[#This Row],[OrderDate]])</f>
        <v>11</v>
      </c>
      <c r="I5" s="1">
        <f>YEAR(Table1[[#This Row],[OrderDate]])</f>
        <v>2024</v>
      </c>
      <c r="J5" s="1" t="str">
        <f>VLOOKUP(Table1[[#This Row],[ProductID]],$A$17:$C$22,2,FALSE)</f>
        <v>Lamp</v>
      </c>
      <c r="K5" s="1" t="str">
        <f>VLOOKUP(Table1[[#This Row],[ProductID]],$A$17:$C$22,3,FALSE)</f>
        <v>Home</v>
      </c>
      <c r="L5" s="1" t="str">
        <f>VLOOKUP(Table1[[#This Row],[RegionID]],$A$25:$B$28,2,FALSE)</f>
        <v>East</v>
      </c>
      <c r="M5" s="1" t="str">
        <f t="shared" si="0"/>
        <v>Saturday</v>
      </c>
    </row>
    <row r="6" spans="1:13" x14ac:dyDescent="0.2">
      <c r="A6" s="1">
        <v>2005</v>
      </c>
      <c r="B6" s="2">
        <v>45668</v>
      </c>
      <c r="C6" s="1" t="s">
        <v>20</v>
      </c>
      <c r="D6" s="1" t="s">
        <v>21</v>
      </c>
      <c r="E6" s="1">
        <v>6</v>
      </c>
      <c r="F6" s="1">
        <v>720</v>
      </c>
      <c r="G6" s="1">
        <f>DAY(Table1[[#This Row],[OrderDate]])</f>
        <v>11</v>
      </c>
      <c r="H6" s="3">
        <f>MONTH(Table1[[#This Row],[OrderDate]])</f>
        <v>1</v>
      </c>
      <c r="I6" s="1">
        <f>YEAR(Table1[[#This Row],[OrderDate]])</f>
        <v>2025</v>
      </c>
      <c r="J6" s="1" t="str">
        <f>VLOOKUP(Table1[[#This Row],[ProductID]],$A$17:$C$22,2,FALSE)</f>
        <v>Desk</v>
      </c>
      <c r="K6" s="1" t="str">
        <f>VLOOKUP(Table1[[#This Row],[ProductID]],$A$17:$C$22,3,FALSE)</f>
        <v>Furniture</v>
      </c>
      <c r="L6" s="1" t="str">
        <f>VLOOKUP(Table1[[#This Row],[RegionID]],$A$25:$B$28,2,FALSE)</f>
        <v>International</v>
      </c>
      <c r="M6" s="1" t="str">
        <f t="shared" si="0"/>
        <v>Saturday</v>
      </c>
    </row>
    <row r="7" spans="1:13" x14ac:dyDescent="0.2">
      <c r="A7" s="1">
        <v>2006</v>
      </c>
      <c r="B7" s="2">
        <v>45851</v>
      </c>
      <c r="C7" s="1" t="s">
        <v>13</v>
      </c>
      <c r="D7" s="1" t="s">
        <v>16</v>
      </c>
      <c r="E7" s="1">
        <v>3</v>
      </c>
      <c r="F7" s="1">
        <v>360</v>
      </c>
      <c r="G7" s="1">
        <f>DAY(Table1[[#This Row],[OrderDate]])</f>
        <v>13</v>
      </c>
      <c r="H7" s="3">
        <f>MONTH(Table1[[#This Row],[OrderDate]])</f>
        <v>7</v>
      </c>
      <c r="I7" s="1">
        <f>YEAR(Table1[[#This Row],[OrderDate]])</f>
        <v>2025</v>
      </c>
      <c r="J7" s="1" t="str">
        <f>VLOOKUP(Table1[[#This Row],[ProductID]],$A$17:$C$22,2,FALSE)</f>
        <v>Monitor</v>
      </c>
      <c r="K7" s="1" t="str">
        <f>VLOOKUP(Table1[[#This Row],[ProductID]],$A$17:$C$22,3,FALSE)</f>
        <v>Electronics</v>
      </c>
      <c r="L7" s="1" t="str">
        <f>VLOOKUP(Table1[[#This Row],[RegionID]],$A$25:$B$28,2,FALSE)</f>
        <v>West</v>
      </c>
      <c r="M7" s="1" t="str">
        <f t="shared" si="0"/>
        <v>Sunday</v>
      </c>
    </row>
    <row r="8" spans="1:13" x14ac:dyDescent="0.2">
      <c r="A8" s="1">
        <v>2007</v>
      </c>
      <c r="B8" s="2">
        <v>45884</v>
      </c>
      <c r="C8" s="1" t="s">
        <v>22</v>
      </c>
      <c r="D8" s="1" t="s">
        <v>18</v>
      </c>
      <c r="E8" s="1">
        <v>4</v>
      </c>
      <c r="F8" s="1">
        <v>640</v>
      </c>
      <c r="G8" s="1">
        <f>DAY(Table1[[#This Row],[OrderDate]])</f>
        <v>15</v>
      </c>
      <c r="H8" s="3">
        <f>MONTH(Table1[[#This Row],[OrderDate]])</f>
        <v>8</v>
      </c>
      <c r="I8" s="1">
        <f>YEAR(Table1[[#This Row],[OrderDate]])</f>
        <v>2025</v>
      </c>
      <c r="J8" s="1" t="str">
        <f>VLOOKUP(Table1[[#This Row],[ProductID]],$A$17:$C$22,2,FALSE)</f>
        <v>Webcam</v>
      </c>
      <c r="K8" s="1" t="str">
        <f>VLOOKUP(Table1[[#This Row],[ProductID]],$A$17:$C$22,3,FALSE)</f>
        <v>Electronics</v>
      </c>
      <c r="L8" s="1" t="str">
        <f>VLOOKUP(Table1[[#This Row],[RegionID]],$A$25:$B$28,2,FALSE)</f>
        <v>Central</v>
      </c>
      <c r="M8" s="1" t="str">
        <f t="shared" si="0"/>
        <v>Friday</v>
      </c>
    </row>
    <row r="9" spans="1:13" x14ac:dyDescent="0.2">
      <c r="A9" s="1">
        <v>2008</v>
      </c>
      <c r="B9" s="2">
        <v>36787</v>
      </c>
      <c r="C9" s="1" t="s">
        <v>15</v>
      </c>
      <c r="D9" s="1" t="s">
        <v>21</v>
      </c>
      <c r="E9" s="1">
        <v>7</v>
      </c>
      <c r="F9" s="1">
        <v>630</v>
      </c>
      <c r="G9" s="1">
        <f>DAY(Table1[[#This Row],[OrderDate]])</f>
        <v>18</v>
      </c>
      <c r="H9" s="3">
        <f>MONTH(Table1[[#This Row],[OrderDate]])</f>
        <v>9</v>
      </c>
      <c r="I9" s="1">
        <f>YEAR(Table1[[#This Row],[OrderDate]])</f>
        <v>2000</v>
      </c>
      <c r="J9" s="1" t="str">
        <f>VLOOKUP(Table1[[#This Row],[ProductID]],$A$17:$C$22,2,FALSE)</f>
        <v>Printer</v>
      </c>
      <c r="K9" s="1" t="str">
        <f>VLOOKUP(Table1[[#This Row],[ProductID]],$A$17:$C$22,3,FALSE)</f>
        <v>Electronics</v>
      </c>
      <c r="L9" s="1" t="str">
        <f>VLOOKUP(Table1[[#This Row],[RegionID]],$A$25:$B$28,2,FALSE)</f>
        <v>International</v>
      </c>
      <c r="M9" s="1" t="str">
        <f t="shared" si="0"/>
        <v>Monday</v>
      </c>
    </row>
    <row r="10" spans="1:13" x14ac:dyDescent="0.2">
      <c r="A10" s="1">
        <v>2009</v>
      </c>
      <c r="B10" s="2">
        <v>45677</v>
      </c>
      <c r="C10" s="1" t="s">
        <v>17</v>
      </c>
      <c r="D10" s="1" t="s">
        <v>14</v>
      </c>
      <c r="E10" s="1">
        <v>2</v>
      </c>
      <c r="F10" s="1">
        <v>220</v>
      </c>
      <c r="G10" s="1">
        <f>DAY(Table1[[#This Row],[OrderDate]])</f>
        <v>20</v>
      </c>
      <c r="H10" s="3">
        <f>MONTH(Table1[[#This Row],[OrderDate]])</f>
        <v>1</v>
      </c>
      <c r="I10" s="1">
        <f>YEAR(Table1[[#This Row],[OrderDate]])</f>
        <v>2025</v>
      </c>
      <c r="J10" s="1" t="str">
        <f>VLOOKUP(Table1[[#This Row],[ProductID]],$A$17:$C$22,2,FALSE)</f>
        <v>Keyboard</v>
      </c>
      <c r="K10" s="1" t="str">
        <f>VLOOKUP(Table1[[#This Row],[ProductID]],$A$17:$C$22,3,FALSE)</f>
        <v>Accessories</v>
      </c>
      <c r="L10" s="1" t="str">
        <f>VLOOKUP(Table1[[#This Row],[RegionID]],$A$25:$B$28,2,FALSE)</f>
        <v>East</v>
      </c>
      <c r="M10" s="1" t="str">
        <f t="shared" si="0"/>
        <v>Monday</v>
      </c>
    </row>
    <row r="11" spans="1:13" x14ac:dyDescent="0.2">
      <c r="A11" s="1">
        <v>2010</v>
      </c>
      <c r="B11" s="2">
        <v>46014</v>
      </c>
      <c r="C11" s="1" t="s">
        <v>19</v>
      </c>
      <c r="D11" s="1" t="s">
        <v>16</v>
      </c>
      <c r="E11" s="1">
        <v>9</v>
      </c>
      <c r="F11" s="1">
        <v>1080</v>
      </c>
      <c r="G11" s="1">
        <f>DAY(Table1[[#This Row],[OrderDate]])</f>
        <v>23</v>
      </c>
      <c r="H11" s="3">
        <f>MONTH(Table1[[#This Row],[OrderDate]])</f>
        <v>12</v>
      </c>
      <c r="I11" s="1">
        <f>YEAR(Table1[[#This Row],[OrderDate]])</f>
        <v>2025</v>
      </c>
      <c r="J11" s="1" t="str">
        <f>VLOOKUP(Table1[[#This Row],[ProductID]],$A$17:$C$22,2,FALSE)</f>
        <v>Lamp</v>
      </c>
      <c r="K11" s="1" t="str">
        <f>VLOOKUP(Table1[[#This Row],[ProductID]],$A$17:$C$22,3,FALSE)</f>
        <v>Home</v>
      </c>
      <c r="L11" s="1" t="str">
        <f>VLOOKUP(Table1[[#This Row],[RegionID]],$A$25:$B$28,2,FALSE)</f>
        <v>West</v>
      </c>
      <c r="M11" s="1" t="str">
        <f t="shared" si="0"/>
        <v>Tuesday</v>
      </c>
    </row>
    <row r="12" spans="1:13" x14ac:dyDescent="0.2">
      <c r="A12" s="1">
        <v>2011</v>
      </c>
      <c r="B12" s="2">
        <v>45955</v>
      </c>
      <c r="C12" s="1" t="s">
        <v>20</v>
      </c>
      <c r="D12" s="1" t="s">
        <v>18</v>
      </c>
      <c r="E12" s="1">
        <v>3</v>
      </c>
      <c r="F12" s="1">
        <v>360</v>
      </c>
      <c r="G12" s="1">
        <f>DAY(Table1[[#This Row],[OrderDate]])</f>
        <v>25</v>
      </c>
      <c r="H12" s="3">
        <f>MONTH(Table1[[#This Row],[OrderDate]])</f>
        <v>10</v>
      </c>
      <c r="I12" s="1">
        <f>YEAR(Table1[[#This Row],[OrderDate]])</f>
        <v>2025</v>
      </c>
      <c r="J12" s="1" t="str">
        <f>VLOOKUP(Table1[[#This Row],[ProductID]],$A$17:$C$22,2,FALSE)</f>
        <v>Desk</v>
      </c>
      <c r="K12" s="1" t="str">
        <f>VLOOKUP(Table1[[#This Row],[ProductID]],$A$17:$C$22,3,FALSE)</f>
        <v>Furniture</v>
      </c>
      <c r="L12" s="1" t="str">
        <f>VLOOKUP(Table1[[#This Row],[RegionID]],$A$25:$B$28,2,FALSE)</f>
        <v>Central</v>
      </c>
      <c r="M12" s="1" t="str">
        <f t="shared" si="0"/>
        <v>Saturday</v>
      </c>
    </row>
    <row r="13" spans="1:13" x14ac:dyDescent="0.2">
      <c r="A13" s="1">
        <v>2012</v>
      </c>
      <c r="B13" s="2">
        <v>45804</v>
      </c>
      <c r="C13" s="1" t="s">
        <v>22</v>
      </c>
      <c r="D13" s="1" t="s">
        <v>21</v>
      </c>
      <c r="E13" s="1">
        <v>5</v>
      </c>
      <c r="F13" s="1">
        <v>800</v>
      </c>
      <c r="G13" s="1">
        <f>DAY(Table1[[#This Row],[OrderDate]])</f>
        <v>27</v>
      </c>
      <c r="H13" s="3">
        <f>MONTH(Table1[[#This Row],[OrderDate]])</f>
        <v>5</v>
      </c>
      <c r="I13" s="1">
        <f>YEAR(Table1[[#This Row],[OrderDate]])</f>
        <v>2025</v>
      </c>
      <c r="J13" s="1" t="str">
        <f>VLOOKUP(Table1[[#This Row],[ProductID]],$A$17:$C$22,2,FALSE)</f>
        <v>Webcam</v>
      </c>
      <c r="K13" s="1" t="str">
        <f>VLOOKUP(Table1[[#This Row],[ProductID]],$A$17:$C$22,3,FALSE)</f>
        <v>Electronics</v>
      </c>
      <c r="L13" s="1" t="str">
        <f>VLOOKUP(Table1[[#This Row],[RegionID]],$A$25:$B$28,2,FALSE)</f>
        <v>International</v>
      </c>
      <c r="M13" s="1" t="str">
        <f t="shared" si="0"/>
        <v>Tuesday</v>
      </c>
    </row>
    <row r="14" spans="1:13" x14ac:dyDescent="0.2">
      <c r="A14" s="1"/>
      <c r="B14" s="1"/>
      <c r="C14" s="1"/>
      <c r="D14" s="1"/>
      <c r="E14" s="1"/>
      <c r="F14" s="1"/>
      <c r="G14" s="1"/>
      <c r="H14" s="1"/>
    </row>
    <row r="15" spans="1:13" x14ac:dyDescent="0.2">
      <c r="A15" s="1"/>
      <c r="B15" s="1"/>
      <c r="C15" s="1"/>
      <c r="D15" s="1"/>
      <c r="E15" s="1"/>
      <c r="F15" s="1"/>
      <c r="G15" s="1"/>
      <c r="H15" s="1"/>
    </row>
    <row r="16" spans="1:13" x14ac:dyDescent="0.2">
      <c r="A16" s="4" t="s">
        <v>2</v>
      </c>
      <c r="B16" s="5" t="s">
        <v>23</v>
      </c>
      <c r="C16" s="6" t="s">
        <v>10</v>
      </c>
      <c r="D16" s="1"/>
      <c r="E16" s="1"/>
      <c r="F16" s="1"/>
      <c r="G16" s="1"/>
      <c r="H16" s="1"/>
    </row>
    <row r="17" spans="1:8" x14ac:dyDescent="0.2">
      <c r="A17" s="7" t="s">
        <v>13</v>
      </c>
      <c r="B17" s="8" t="s">
        <v>24</v>
      </c>
      <c r="C17" s="9" t="s">
        <v>25</v>
      </c>
      <c r="D17" s="1"/>
      <c r="E17" s="1"/>
      <c r="F17" s="1"/>
      <c r="G17" s="1"/>
      <c r="H17" s="1"/>
    </row>
    <row r="18" spans="1:8" x14ac:dyDescent="0.2">
      <c r="A18" s="4" t="s">
        <v>17</v>
      </c>
      <c r="B18" s="5" t="s">
        <v>26</v>
      </c>
      <c r="C18" s="6" t="s">
        <v>27</v>
      </c>
      <c r="D18" s="1"/>
      <c r="E18" s="1"/>
      <c r="F18" s="1"/>
      <c r="G18" s="1"/>
      <c r="H18" s="1"/>
    </row>
    <row r="19" spans="1:8" x14ac:dyDescent="0.2">
      <c r="A19" s="7" t="s">
        <v>15</v>
      </c>
      <c r="B19" s="8" t="s">
        <v>28</v>
      </c>
      <c r="C19" s="9" t="s">
        <v>25</v>
      </c>
      <c r="D19" s="1"/>
      <c r="E19" s="1"/>
      <c r="F19" s="1"/>
      <c r="G19" s="1"/>
      <c r="H19" s="1"/>
    </row>
    <row r="20" spans="1:8" x14ac:dyDescent="0.2">
      <c r="A20" s="4" t="s">
        <v>20</v>
      </c>
      <c r="B20" s="5" t="s">
        <v>29</v>
      </c>
      <c r="C20" s="6" t="s">
        <v>30</v>
      </c>
      <c r="D20" s="1"/>
      <c r="E20" s="1"/>
      <c r="F20" s="1"/>
      <c r="G20" s="1"/>
      <c r="H20" s="1"/>
    </row>
    <row r="21" spans="1:8" x14ac:dyDescent="0.2">
      <c r="A21" s="7" t="s">
        <v>19</v>
      </c>
      <c r="B21" s="8" t="s">
        <v>31</v>
      </c>
      <c r="C21" s="9" t="s">
        <v>32</v>
      </c>
      <c r="D21" s="1"/>
      <c r="E21" s="1"/>
      <c r="F21" s="1"/>
      <c r="G21" s="1"/>
      <c r="H21" s="1"/>
    </row>
    <row r="22" spans="1:8" x14ac:dyDescent="0.2">
      <c r="A22" s="4" t="s">
        <v>22</v>
      </c>
      <c r="B22" s="5" t="s">
        <v>33</v>
      </c>
      <c r="C22" s="6" t="s">
        <v>25</v>
      </c>
      <c r="D22" s="1"/>
      <c r="E22" s="1"/>
      <c r="F22" s="1"/>
      <c r="G22" s="1"/>
      <c r="H22" s="1"/>
    </row>
    <row r="23" spans="1:8" x14ac:dyDescent="0.2">
      <c r="A23" s="1"/>
      <c r="B23" s="1"/>
      <c r="C23" s="1"/>
      <c r="D23" s="1"/>
      <c r="E23" s="1"/>
      <c r="F23" s="1"/>
      <c r="G23" s="1"/>
      <c r="H23" s="1"/>
    </row>
    <row r="24" spans="1:8" x14ac:dyDescent="0.2">
      <c r="A24" s="4" t="s">
        <v>3</v>
      </c>
      <c r="B24" s="6" t="s">
        <v>34</v>
      </c>
      <c r="C24" s="1"/>
      <c r="D24" s="1"/>
      <c r="E24" s="1"/>
      <c r="F24" s="1"/>
      <c r="G24" s="1"/>
      <c r="H24" s="1"/>
    </row>
    <row r="25" spans="1:8" x14ac:dyDescent="0.2">
      <c r="A25" s="7" t="s">
        <v>14</v>
      </c>
      <c r="B25" s="9" t="s">
        <v>35</v>
      </c>
      <c r="C25" s="1"/>
      <c r="D25" s="1"/>
      <c r="E25" s="1"/>
      <c r="F25" s="1"/>
      <c r="G25" s="1"/>
      <c r="H25" s="1"/>
    </row>
    <row r="26" spans="1:8" x14ac:dyDescent="0.2">
      <c r="A26" s="4" t="s">
        <v>16</v>
      </c>
      <c r="B26" s="6" t="s">
        <v>36</v>
      </c>
      <c r="C26" s="1"/>
      <c r="D26" s="1"/>
      <c r="E26" s="1"/>
      <c r="F26" s="1"/>
      <c r="G26" s="1"/>
      <c r="H26" s="1"/>
    </row>
    <row r="27" spans="1:8" x14ac:dyDescent="0.2">
      <c r="A27" s="7" t="s">
        <v>18</v>
      </c>
      <c r="B27" s="9" t="s">
        <v>37</v>
      </c>
      <c r="C27" s="1"/>
      <c r="D27" s="1"/>
      <c r="E27" s="1"/>
      <c r="F27" s="1"/>
      <c r="G27" s="1"/>
      <c r="H27" s="1"/>
    </row>
    <row r="28" spans="1:8" x14ac:dyDescent="0.2">
      <c r="A28" s="4" t="s">
        <v>21</v>
      </c>
      <c r="B28" s="6" t="s">
        <v>38</v>
      </c>
      <c r="C28" s="1"/>
      <c r="D28" s="1"/>
      <c r="E28" s="1"/>
      <c r="F28" s="1"/>
      <c r="G28" s="1"/>
      <c r="H28"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A1F27-8595-8D43-AEBD-7D3559F46DDB}">
  <dimension ref="A3:B39"/>
  <sheetViews>
    <sheetView workbookViewId="0">
      <selection activeCell="Q16" sqref="Q16"/>
    </sheetView>
  </sheetViews>
  <sheetFormatPr baseColWidth="10" defaultRowHeight="16" x14ac:dyDescent="0.2"/>
  <cols>
    <col min="1" max="1" width="13" bestFit="1" customWidth="1"/>
    <col min="2" max="2" width="18.33203125" bestFit="1" customWidth="1"/>
  </cols>
  <sheetData>
    <row r="3" spans="1:2" x14ac:dyDescent="0.2">
      <c r="A3" s="10" t="s">
        <v>39</v>
      </c>
      <c r="B3" t="s">
        <v>41</v>
      </c>
    </row>
    <row r="4" spans="1:2" x14ac:dyDescent="0.2">
      <c r="A4" s="11" t="s">
        <v>27</v>
      </c>
      <c r="B4" s="13">
        <v>0.35483870967741937</v>
      </c>
    </row>
    <row r="5" spans="1:2" x14ac:dyDescent="0.2">
      <c r="A5" s="11" t="s">
        <v>25</v>
      </c>
      <c r="B5" s="13">
        <v>0.41290322580645161</v>
      </c>
    </row>
    <row r="6" spans="1:2" x14ac:dyDescent="0.2">
      <c r="A6" s="11" t="s">
        <v>30</v>
      </c>
      <c r="B6" s="13">
        <v>0.23225806451612904</v>
      </c>
    </row>
    <row r="7" spans="1:2" x14ac:dyDescent="0.2">
      <c r="A7" s="11" t="s">
        <v>40</v>
      </c>
      <c r="B7" s="13">
        <v>1</v>
      </c>
    </row>
    <row r="19" spans="1:2" x14ac:dyDescent="0.2">
      <c r="A19" s="10" t="s">
        <v>39</v>
      </c>
      <c r="B19" t="s">
        <v>41</v>
      </c>
    </row>
    <row r="20" spans="1:2" x14ac:dyDescent="0.2">
      <c r="A20" s="11">
        <v>4</v>
      </c>
      <c r="B20" s="12">
        <v>550</v>
      </c>
    </row>
    <row r="21" spans="1:2" x14ac:dyDescent="0.2">
      <c r="A21" s="11">
        <v>8</v>
      </c>
      <c r="B21" s="12">
        <v>640</v>
      </c>
    </row>
    <row r="22" spans="1:2" x14ac:dyDescent="0.2">
      <c r="A22" s="11">
        <v>10</v>
      </c>
      <c r="B22" s="12">
        <v>360</v>
      </c>
    </row>
    <row r="23" spans="1:2" x14ac:dyDescent="0.2">
      <c r="A23" s="11" t="s">
        <v>40</v>
      </c>
      <c r="B23" s="12">
        <v>1550</v>
      </c>
    </row>
    <row r="35" spans="1:2" x14ac:dyDescent="0.2">
      <c r="A35" s="10" t="s">
        <v>39</v>
      </c>
      <c r="B35" t="s">
        <v>41</v>
      </c>
    </row>
    <row r="36" spans="1:2" x14ac:dyDescent="0.2">
      <c r="A36" s="11" t="s">
        <v>29</v>
      </c>
      <c r="B36" s="12">
        <v>360</v>
      </c>
    </row>
    <row r="37" spans="1:2" x14ac:dyDescent="0.2">
      <c r="A37" s="11" t="s">
        <v>26</v>
      </c>
      <c r="B37" s="12">
        <v>550</v>
      </c>
    </row>
    <row r="38" spans="1:2" x14ac:dyDescent="0.2">
      <c r="A38" s="11" t="s">
        <v>33</v>
      </c>
      <c r="B38" s="12">
        <v>640</v>
      </c>
    </row>
    <row r="39" spans="1:2" x14ac:dyDescent="0.2">
      <c r="A39" s="11" t="s">
        <v>40</v>
      </c>
      <c r="B39" s="12">
        <v>1550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64D5F-2010-994C-9FA9-DC7DD71F2291}">
  <dimension ref="A3:F9"/>
  <sheetViews>
    <sheetView workbookViewId="0">
      <selection activeCell="M22" sqref="M22"/>
    </sheetView>
  </sheetViews>
  <sheetFormatPr baseColWidth="10" defaultRowHeight="16" x14ac:dyDescent="0.2"/>
  <cols>
    <col min="1" max="1" width="18.33203125" bestFit="1" customWidth="1"/>
    <col min="2" max="2" width="16" bestFit="1" customWidth="1"/>
    <col min="3" max="3" width="7.1640625" bestFit="1" customWidth="1"/>
    <col min="4" max="4" width="11.6640625" bestFit="1" customWidth="1"/>
    <col min="5" max="5" width="7.1640625" bestFit="1" customWidth="1"/>
    <col min="6" max="7" width="10.5" bestFit="1" customWidth="1"/>
  </cols>
  <sheetData>
    <row r="3" spans="1:6" x14ac:dyDescent="0.2">
      <c r="A3" s="10" t="s">
        <v>41</v>
      </c>
      <c r="B3" s="10" t="s">
        <v>42</v>
      </c>
    </row>
    <row r="4" spans="1:6" x14ac:dyDescent="0.2">
      <c r="A4" s="10" t="s">
        <v>39</v>
      </c>
      <c r="B4" t="s">
        <v>37</v>
      </c>
      <c r="C4" t="s">
        <v>35</v>
      </c>
      <c r="D4" t="s">
        <v>38</v>
      </c>
      <c r="E4" t="s">
        <v>36</v>
      </c>
      <c r="F4" t="s">
        <v>40</v>
      </c>
    </row>
    <row r="5" spans="1:6" x14ac:dyDescent="0.2">
      <c r="A5" s="11" t="s">
        <v>27</v>
      </c>
      <c r="B5" s="13">
        <v>8.3081570996978854E-2</v>
      </c>
      <c r="C5" s="13">
        <v>3.3232628398791542E-2</v>
      </c>
      <c r="D5" s="13">
        <v>0</v>
      </c>
      <c r="E5" s="13">
        <v>0</v>
      </c>
      <c r="F5" s="13">
        <v>0.1163141993957704</v>
      </c>
    </row>
    <row r="6" spans="1:6" x14ac:dyDescent="0.2">
      <c r="A6" s="11" t="s">
        <v>25</v>
      </c>
      <c r="B6" s="13">
        <v>9.6676737160120846E-2</v>
      </c>
      <c r="C6" s="13">
        <v>0.14501510574018128</v>
      </c>
      <c r="D6" s="13">
        <v>0.21601208459214502</v>
      </c>
      <c r="E6" s="13">
        <v>8.1570996978851965E-2</v>
      </c>
      <c r="F6" s="13">
        <v>0.5392749244712991</v>
      </c>
    </row>
    <row r="7" spans="1:6" x14ac:dyDescent="0.2">
      <c r="A7" s="11" t="s">
        <v>30</v>
      </c>
      <c r="B7" s="13">
        <v>5.4380664652567974E-2</v>
      </c>
      <c r="C7" s="13">
        <v>0</v>
      </c>
      <c r="D7" s="13">
        <v>0.10876132930513595</v>
      </c>
      <c r="E7" s="13">
        <v>0</v>
      </c>
      <c r="F7" s="13">
        <v>0.16314199395770393</v>
      </c>
    </row>
    <row r="8" spans="1:6" x14ac:dyDescent="0.2">
      <c r="A8" s="11" t="s">
        <v>32</v>
      </c>
      <c r="B8" s="13">
        <v>0</v>
      </c>
      <c r="C8" s="13">
        <v>1.812688821752266E-2</v>
      </c>
      <c r="D8" s="13">
        <v>0</v>
      </c>
      <c r="E8" s="13">
        <v>0.16314199395770393</v>
      </c>
      <c r="F8" s="13">
        <v>0.18126888217522658</v>
      </c>
    </row>
    <row r="9" spans="1:6" x14ac:dyDescent="0.2">
      <c r="A9" s="11" t="s">
        <v>40</v>
      </c>
      <c r="B9" s="13">
        <v>0.23413897280966767</v>
      </c>
      <c r="C9" s="13">
        <v>0.19637462235649547</v>
      </c>
      <c r="D9" s="13">
        <v>0.32477341389728098</v>
      </c>
      <c r="E9" s="13">
        <v>0.24471299093655588</v>
      </c>
      <c r="F9" s="13">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6ED6-2B44-2142-8442-73E865E4A391}">
  <dimension ref="A1:C95"/>
  <sheetViews>
    <sheetView tabSelected="1" topLeftCell="A25" workbookViewId="0">
      <selection activeCell="A94" sqref="A94"/>
    </sheetView>
  </sheetViews>
  <sheetFormatPr baseColWidth="10" defaultRowHeight="16" x14ac:dyDescent="0.2"/>
  <sheetData>
    <row r="1" spans="1:3" ht="22" x14ac:dyDescent="0.3">
      <c r="A1" s="14" t="s">
        <v>59</v>
      </c>
    </row>
    <row r="3" spans="1:3" x14ac:dyDescent="0.2">
      <c r="A3" t="s">
        <v>43</v>
      </c>
    </row>
    <row r="4" spans="1:3" x14ac:dyDescent="0.2">
      <c r="B4" t="s">
        <v>44</v>
      </c>
      <c r="C4" t="s">
        <v>45</v>
      </c>
    </row>
    <row r="5" spans="1:3" x14ac:dyDescent="0.2">
      <c r="B5" t="s">
        <v>44</v>
      </c>
      <c r="C5" t="s">
        <v>46</v>
      </c>
    </row>
    <row r="6" spans="1:3" x14ac:dyDescent="0.2">
      <c r="B6" t="s">
        <v>44</v>
      </c>
      <c r="C6" t="s">
        <v>47</v>
      </c>
    </row>
    <row r="8" spans="1:3" x14ac:dyDescent="0.2">
      <c r="A8" t="s">
        <v>48</v>
      </c>
    </row>
    <row r="9" spans="1:3" x14ac:dyDescent="0.2">
      <c r="B9" t="s">
        <v>44</v>
      </c>
      <c r="C9" t="s">
        <v>49</v>
      </c>
    </row>
    <row r="10" spans="1:3" x14ac:dyDescent="0.2">
      <c r="B10" t="s">
        <v>44</v>
      </c>
      <c r="C10" t="s">
        <v>50</v>
      </c>
    </row>
    <row r="11" spans="1:3" x14ac:dyDescent="0.2">
      <c r="B11" t="s">
        <v>44</v>
      </c>
      <c r="C11" t="s">
        <v>51</v>
      </c>
    </row>
    <row r="12" spans="1:3" x14ac:dyDescent="0.2">
      <c r="B12" t="s">
        <v>44</v>
      </c>
      <c r="C12" t="s">
        <v>52</v>
      </c>
    </row>
    <row r="13" spans="1:3" x14ac:dyDescent="0.2">
      <c r="B13" t="s">
        <v>44</v>
      </c>
      <c r="C13" t="s">
        <v>53</v>
      </c>
    </row>
    <row r="15" spans="1:3" x14ac:dyDescent="0.2">
      <c r="A15" t="s">
        <v>54</v>
      </c>
    </row>
    <row r="16" spans="1:3" x14ac:dyDescent="0.2">
      <c r="B16" t="s">
        <v>44</v>
      </c>
      <c r="C16" t="s">
        <v>55</v>
      </c>
    </row>
    <row r="17" spans="1:3" x14ac:dyDescent="0.2">
      <c r="B17" t="s">
        <v>44</v>
      </c>
      <c r="C17" t="s">
        <v>56</v>
      </c>
    </row>
    <row r="18" spans="1:3" x14ac:dyDescent="0.2">
      <c r="B18" t="s">
        <v>44</v>
      </c>
      <c r="C18" t="s">
        <v>57</v>
      </c>
    </row>
    <row r="19" spans="1:3" x14ac:dyDescent="0.2">
      <c r="B19" t="s">
        <v>44</v>
      </c>
      <c r="C19" t="s">
        <v>58</v>
      </c>
    </row>
    <row r="22" spans="1:3" ht="24" x14ac:dyDescent="0.3">
      <c r="A22" s="15" t="s">
        <v>68</v>
      </c>
    </row>
    <row r="24" spans="1:3" x14ac:dyDescent="0.2">
      <c r="A24" t="s">
        <v>60</v>
      </c>
    </row>
    <row r="25" spans="1:3" x14ac:dyDescent="0.2">
      <c r="B25" t="s">
        <v>44</v>
      </c>
      <c r="C25" t="s">
        <v>61</v>
      </c>
    </row>
    <row r="26" spans="1:3" x14ac:dyDescent="0.2">
      <c r="B26" t="s">
        <v>44</v>
      </c>
      <c r="C26" t="s">
        <v>62</v>
      </c>
    </row>
    <row r="27" spans="1:3" x14ac:dyDescent="0.2">
      <c r="B27" t="s">
        <v>44</v>
      </c>
      <c r="C27" t="s">
        <v>63</v>
      </c>
    </row>
    <row r="29" spans="1:3" x14ac:dyDescent="0.2">
      <c r="A29" t="s">
        <v>54</v>
      </c>
    </row>
    <row r="30" spans="1:3" x14ac:dyDescent="0.2">
      <c r="B30" t="s">
        <v>44</v>
      </c>
      <c r="C30" t="s">
        <v>64</v>
      </c>
    </row>
    <row r="31" spans="1:3" x14ac:dyDescent="0.2">
      <c r="B31" t="s">
        <v>44</v>
      </c>
      <c r="C31" t="s">
        <v>65</v>
      </c>
    </row>
    <row r="32" spans="1:3" x14ac:dyDescent="0.2">
      <c r="B32" t="s">
        <v>44</v>
      </c>
      <c r="C32" t="s">
        <v>66</v>
      </c>
    </row>
    <row r="33" spans="1:3" x14ac:dyDescent="0.2">
      <c r="B33" t="s">
        <v>44</v>
      </c>
      <c r="C33" t="s">
        <v>67</v>
      </c>
    </row>
    <row r="35" spans="1:3" ht="24" x14ac:dyDescent="0.3">
      <c r="A35" s="15" t="s">
        <v>76</v>
      </c>
    </row>
    <row r="37" spans="1:3" x14ac:dyDescent="0.2">
      <c r="A37" t="s">
        <v>69</v>
      </c>
    </row>
    <row r="38" spans="1:3" x14ac:dyDescent="0.2">
      <c r="B38" t="s">
        <v>44</v>
      </c>
      <c r="C38" t="s">
        <v>70</v>
      </c>
    </row>
    <row r="39" spans="1:3" x14ac:dyDescent="0.2">
      <c r="B39" t="s">
        <v>44</v>
      </c>
      <c r="C39" t="s">
        <v>71</v>
      </c>
    </row>
    <row r="40" spans="1:3" x14ac:dyDescent="0.2">
      <c r="B40" t="s">
        <v>44</v>
      </c>
      <c r="C40" t="s">
        <v>72</v>
      </c>
    </row>
    <row r="42" spans="1:3" x14ac:dyDescent="0.2">
      <c r="A42" t="s">
        <v>73</v>
      </c>
    </row>
    <row r="43" spans="1:3" x14ac:dyDescent="0.2">
      <c r="B43" t="s">
        <v>44</v>
      </c>
      <c r="C43" t="s">
        <v>74</v>
      </c>
    </row>
    <row r="44" spans="1:3" x14ac:dyDescent="0.2">
      <c r="B44" t="s">
        <v>44</v>
      </c>
      <c r="C44" t="s">
        <v>75</v>
      </c>
    </row>
    <row r="47" spans="1:3" x14ac:dyDescent="0.2">
      <c r="A47" t="s">
        <v>77</v>
      </c>
    </row>
    <row r="48" spans="1:3" x14ac:dyDescent="0.2">
      <c r="B48" t="s">
        <v>44</v>
      </c>
      <c r="C48" t="s">
        <v>78</v>
      </c>
    </row>
    <row r="49" spans="1:3" x14ac:dyDescent="0.2">
      <c r="B49" t="s">
        <v>44</v>
      </c>
      <c r="C49" t="s">
        <v>71</v>
      </c>
    </row>
    <row r="50" spans="1:3" x14ac:dyDescent="0.2">
      <c r="B50" t="s">
        <v>44</v>
      </c>
      <c r="C50" t="s">
        <v>79</v>
      </c>
    </row>
    <row r="52" spans="1:3" x14ac:dyDescent="0.2">
      <c r="A52" t="s">
        <v>73</v>
      </c>
    </row>
    <row r="53" spans="1:3" x14ac:dyDescent="0.2">
      <c r="B53" t="s">
        <v>44</v>
      </c>
      <c r="C53" t="s">
        <v>80</v>
      </c>
    </row>
    <row r="54" spans="1:3" x14ac:dyDescent="0.2">
      <c r="B54" t="s">
        <v>44</v>
      </c>
      <c r="C54" t="s">
        <v>81</v>
      </c>
    </row>
    <row r="57" spans="1:3" x14ac:dyDescent="0.2">
      <c r="A57" t="s">
        <v>82</v>
      </c>
    </row>
    <row r="58" spans="1:3" x14ac:dyDescent="0.2">
      <c r="B58" t="s">
        <v>44</v>
      </c>
      <c r="C58" t="s">
        <v>83</v>
      </c>
    </row>
    <row r="59" spans="1:3" x14ac:dyDescent="0.2">
      <c r="B59" t="s">
        <v>44</v>
      </c>
      <c r="C59" t="s">
        <v>84</v>
      </c>
    </row>
    <row r="60" spans="1:3" x14ac:dyDescent="0.2">
      <c r="B60" t="s">
        <v>44</v>
      </c>
      <c r="C60" t="s">
        <v>85</v>
      </c>
    </row>
    <row r="62" spans="1:3" x14ac:dyDescent="0.2">
      <c r="A62" t="s">
        <v>73</v>
      </c>
    </row>
    <row r="63" spans="1:3" x14ac:dyDescent="0.2">
      <c r="B63" t="s">
        <v>44</v>
      </c>
      <c r="C63" t="s">
        <v>86</v>
      </c>
    </row>
    <row r="64" spans="1:3" x14ac:dyDescent="0.2">
      <c r="B64" t="s">
        <v>44</v>
      </c>
      <c r="C64" t="s">
        <v>87</v>
      </c>
    </row>
    <row r="67" spans="1:3" ht="24" x14ac:dyDescent="0.3">
      <c r="A67" s="15" t="s">
        <v>94</v>
      </c>
    </row>
    <row r="69" spans="1:3" x14ac:dyDescent="0.2">
      <c r="A69" t="s">
        <v>88</v>
      </c>
    </row>
    <row r="70" spans="1:3" x14ac:dyDescent="0.2">
      <c r="B70" t="s">
        <v>44</v>
      </c>
      <c r="C70" t="s">
        <v>9</v>
      </c>
    </row>
    <row r="71" spans="1:3" x14ac:dyDescent="0.2">
      <c r="B71" t="s">
        <v>44</v>
      </c>
      <c r="C71" t="s">
        <v>10</v>
      </c>
    </row>
    <row r="72" spans="1:3" x14ac:dyDescent="0.2">
      <c r="B72" t="s">
        <v>44</v>
      </c>
      <c r="C72" t="s">
        <v>11</v>
      </c>
    </row>
    <row r="73" spans="1:3" x14ac:dyDescent="0.2">
      <c r="B73" t="s">
        <v>44</v>
      </c>
      <c r="C73" t="s">
        <v>89</v>
      </c>
    </row>
    <row r="75" spans="1:3" x14ac:dyDescent="0.2">
      <c r="A75" t="s">
        <v>90</v>
      </c>
    </row>
    <row r="76" spans="1:3" x14ac:dyDescent="0.2">
      <c r="B76" t="s">
        <v>44</v>
      </c>
      <c r="C76" t="s">
        <v>91</v>
      </c>
    </row>
    <row r="77" spans="1:3" x14ac:dyDescent="0.2">
      <c r="B77" t="s">
        <v>44</v>
      </c>
      <c r="C77" t="s">
        <v>92</v>
      </c>
    </row>
    <row r="78" spans="1:3" x14ac:dyDescent="0.2">
      <c r="B78" t="s">
        <v>44</v>
      </c>
      <c r="C78" t="s">
        <v>93</v>
      </c>
    </row>
    <row r="81" spans="1:3" ht="24" x14ac:dyDescent="0.3">
      <c r="A81" s="15" t="s">
        <v>102</v>
      </c>
    </row>
    <row r="83" spans="1:3" x14ac:dyDescent="0.2">
      <c r="A83" t="s">
        <v>95</v>
      </c>
    </row>
    <row r="84" spans="1:3" x14ac:dyDescent="0.2">
      <c r="B84" t="s">
        <v>44</v>
      </c>
      <c r="C84" t="s">
        <v>96</v>
      </c>
    </row>
    <row r="85" spans="1:3" x14ac:dyDescent="0.2">
      <c r="B85" t="s">
        <v>44</v>
      </c>
      <c r="C85" t="s">
        <v>97</v>
      </c>
    </row>
    <row r="86" spans="1:3" x14ac:dyDescent="0.2">
      <c r="B86" t="s">
        <v>44</v>
      </c>
      <c r="C86" t="s">
        <v>98</v>
      </c>
    </row>
    <row r="88" spans="1:3" x14ac:dyDescent="0.2">
      <c r="A88" t="s">
        <v>54</v>
      </c>
    </row>
    <row r="89" spans="1:3" x14ac:dyDescent="0.2">
      <c r="B89" t="s">
        <v>44</v>
      </c>
      <c r="C89" t="s">
        <v>99</v>
      </c>
    </row>
    <row r="90" spans="1:3" x14ac:dyDescent="0.2">
      <c r="B90" t="s">
        <v>44</v>
      </c>
      <c r="C90" t="s">
        <v>100</v>
      </c>
    </row>
    <row r="91" spans="1:3" x14ac:dyDescent="0.2">
      <c r="B91" t="s">
        <v>44</v>
      </c>
      <c r="C91" t="s">
        <v>101</v>
      </c>
    </row>
    <row r="93" spans="1:3" ht="24" x14ac:dyDescent="0.3">
      <c r="A93" s="16" t="s">
        <v>105</v>
      </c>
    </row>
    <row r="94" spans="1:3" x14ac:dyDescent="0.2">
      <c r="B94" t="s">
        <v>103</v>
      </c>
    </row>
    <row r="95" spans="1:3" x14ac:dyDescent="0.2">
      <c r="B95"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D128F-0BA9-7B46-9CF9-0BB773F0F7C3}">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SALES</vt:lpstr>
      <vt:lpstr>PIVOT TABLES</vt:lpstr>
      <vt:lpstr>SALES CONTRIBUTION ANALYSIS</vt:lpstr>
      <vt:lpstr>STEPS</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dalu alex</dc:creator>
  <cp:lastModifiedBy>dalu alex</cp:lastModifiedBy>
  <dcterms:created xsi:type="dcterms:W3CDTF">2026-02-08T19:27:10Z</dcterms:created>
  <dcterms:modified xsi:type="dcterms:W3CDTF">2026-02-08T19:56:06Z</dcterms:modified>
</cp:coreProperties>
</file>